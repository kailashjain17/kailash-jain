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General Ledger Detail" sheetId="1" r:id="rId1"/>
  </sheets>
  <calcPr calcId="162913"/>
</workbook>
</file>

<file path=xl/sharedStrings.xml><?xml version="1.0" encoding="utf-8"?>
<sst xmlns="http://schemas.openxmlformats.org/spreadsheetml/2006/main" count="825" uniqueCount="825">
  <si>
    <t>General Ledger Detail</t>
  </si>
  <si>
    <t>Nacon Pty Ltd</t>
  </si>
  <si>
    <t>For the period 1 April 2024 to 31 March 2025</t>
  </si>
  <si>
    <t>Date</t>
  </si>
  <si>
    <t>Account Code</t>
  </si>
  <si>
    <t>Account Type</t>
  </si>
  <si>
    <t>Account</t>
  </si>
  <si>
    <t>Source</t>
  </si>
  <si>
    <t>Description</t>
  </si>
  <si>
    <t>Reference</t>
  </si>
  <si>
    <t>Debit</t>
  </si>
  <si>
    <t>Credit</t>
  </si>
  <si>
    <t>Running Balance</t>
  </si>
  <si>
    <t>GST</t>
  </si>
  <si>
    <t>GST Rate</t>
  </si>
  <si>
    <t>GST Rate Name</t>
  </si>
  <si>
    <t>- Airwallex - USD</t>
  </si>
  <si>
    <t>Opening Balance</t>
  </si>
  <si>
    <t>Bank</t>
  </si>
  <si>
    <t>Airwallex - USD</t>
  </si>
  <si>
    <t>Bank Transfer</t>
  </si>
  <si>
    <t>Bank Transfer from Nacon - HSBC USD to Airwallex - USD</t>
  </si>
  <si>
    <t>Bank Transfer from Airwallex - USD to Airwallex AUD</t>
  </si>
  <si>
    <t>Currency Adjustment</t>
  </si>
  <si>
    <t>Total - Airwallex - USD</t>
  </si>
  <si>
    <t>Net movement</t>
  </si>
  <si>
    <t>Closing Balance</t>
  </si>
  <si>
    <t>- Airwallex AUD</t>
  </si>
  <si>
    <t>Airwallex AUD</t>
  </si>
  <si>
    <t>Spend Money</t>
  </si>
  <si>
    <t>AUSTRALIAN TAXATION OFFICE</t>
  </si>
  <si>
    <t>Altus Business Advisers Pty Ltd Payment of AUD 2603.98; INVOICE NO 1035930</t>
  </si>
  <si>
    <t>Therisa Reddy</t>
  </si>
  <si>
    <t>Nicholas Alexander Mirkov</t>
  </si>
  <si>
    <t>Brandon Marlow</t>
  </si>
  <si>
    <t>Bank fees</t>
  </si>
  <si>
    <t>Payable Payment</t>
  </si>
  <si>
    <t>Payment: Novated Lease Australia</t>
  </si>
  <si>
    <t>101598 1YZ6LH</t>
  </si>
  <si>
    <t>Bank charges</t>
  </si>
  <si>
    <t>ATO - BAS</t>
  </si>
  <si>
    <t>Bank Transfer from Nacon - HSBC USD to Airwallex AUD</t>
  </si>
  <si>
    <t>Payment: AUSTRALIAN SECURITIES &amp; INVESTMENTS COMMISSION</t>
  </si>
  <si>
    <t>Payment: ALTUS BUSINESS ADVISERS PTY LTD</t>
  </si>
  <si>
    <t>1037335</t>
  </si>
  <si>
    <t>1039095</t>
  </si>
  <si>
    <t>1039112</t>
  </si>
  <si>
    <t>Receive Money</t>
  </si>
  <si>
    <t>Unknown</t>
  </si>
  <si>
    <t>ATO006000019919641; NACON PTY LTD</t>
  </si>
  <si>
    <t>1041213</t>
  </si>
  <si>
    <t>1042287</t>
  </si>
  <si>
    <t>VICTORIAN WORKCOVER AUTH ALLIANZ</t>
  </si>
  <si>
    <t>August 2024 Wages</t>
  </si>
  <si>
    <t>1043795</t>
  </si>
  <si>
    <t>Payment: Adobe Systems Software Ireland LTD</t>
  </si>
  <si>
    <t>2883311323</t>
  </si>
  <si>
    <t>2883311324</t>
  </si>
  <si>
    <t>1045030</t>
  </si>
  <si>
    <t>Payment: INSURANCE ADVISERNET AUSTRALIA PTY LT</t>
  </si>
  <si>
    <t>603366491</t>
  </si>
  <si>
    <t>1046746</t>
  </si>
  <si>
    <t>1048542</t>
  </si>
  <si>
    <t>1049889</t>
  </si>
  <si>
    <t>Payment: Adobe Systems Software Ireland Ltd.</t>
  </si>
  <si>
    <t>3005904346</t>
  </si>
  <si>
    <t>1051204</t>
  </si>
  <si>
    <t>Total - Airwallex AUD</t>
  </si>
  <si>
    <t>- Nacon - HSBC USD</t>
  </si>
  <si>
    <t>Nacon - HSBC USD</t>
  </si>
  <si>
    <t>Receivable Payment</t>
  </si>
  <si>
    <t>Payment: Turn Left Distribution Pty Ltd</t>
  </si>
  <si>
    <t>P2402-001</t>
  </si>
  <si>
    <t>P2403-001</t>
  </si>
  <si>
    <t>Payment: Nacon Gaming Inc.</t>
  </si>
  <si>
    <t>PDN24-04-01</t>
  </si>
  <si>
    <t>Payment: Nacon (HK) Limited</t>
  </si>
  <si>
    <t>N2401-008</t>
  </si>
  <si>
    <t>NDN24-01-02</t>
  </si>
  <si>
    <t>NDN24-02-07</t>
  </si>
  <si>
    <t>NDN24-03-08</t>
  </si>
  <si>
    <t>P2402-002</t>
  </si>
  <si>
    <t>P2403-002</t>
  </si>
  <si>
    <t>P2403-003</t>
  </si>
  <si>
    <t>Turn Left Distribution Pty Ltd</t>
  </si>
  <si>
    <t>PDN24-05-01</t>
  </si>
  <si>
    <t>PDN24-06-01</t>
  </si>
  <si>
    <t>Bank Interest Received</t>
  </si>
  <si>
    <t>P2403-004</t>
  </si>
  <si>
    <t>P2403-005</t>
  </si>
  <si>
    <t>P2405-001</t>
  </si>
  <si>
    <t>PDN24-07-01</t>
  </si>
  <si>
    <t>P2405-002</t>
  </si>
  <si>
    <t>P2405-003</t>
  </si>
  <si>
    <t>PDN24-08-01</t>
  </si>
  <si>
    <t>N2402-025R1</t>
  </si>
  <si>
    <t>N2403-006</t>
  </si>
  <si>
    <t>N2403-008B</t>
  </si>
  <si>
    <t>N2403-009B</t>
  </si>
  <si>
    <t>NDN24-04-10</t>
  </si>
  <si>
    <t>N2405-007</t>
  </si>
  <si>
    <t>N2402-013</t>
  </si>
  <si>
    <t>N2403-005</t>
  </si>
  <si>
    <t>N2403-008AR</t>
  </si>
  <si>
    <t>N2403-009A</t>
  </si>
  <si>
    <t>N2405-003</t>
  </si>
  <si>
    <t>P2405-005</t>
  </si>
  <si>
    <t>P2405-006</t>
  </si>
  <si>
    <t>N2405-008</t>
  </si>
  <si>
    <t>N2405-021</t>
  </si>
  <si>
    <t>N2405-022A</t>
  </si>
  <si>
    <t>N2405-022B</t>
  </si>
  <si>
    <t>N2405-023</t>
  </si>
  <si>
    <t>PDN24-09-01</t>
  </si>
  <si>
    <t>P2405-009</t>
  </si>
  <si>
    <t>P2405-008</t>
  </si>
  <si>
    <t>P2405-007</t>
  </si>
  <si>
    <t>P2405-010</t>
  </si>
  <si>
    <t>PDN 24-10-01</t>
  </si>
  <si>
    <t>P2405-011</t>
  </si>
  <si>
    <t>P2405-012</t>
  </si>
  <si>
    <t>N2405-028</t>
  </si>
  <si>
    <t>N2405-029</t>
  </si>
  <si>
    <t>N2405-030</t>
  </si>
  <si>
    <t>N2405-036A</t>
  </si>
  <si>
    <t>N2405-036B</t>
  </si>
  <si>
    <t>P2406-001</t>
  </si>
  <si>
    <t>PDN24-11-01</t>
  </si>
  <si>
    <t>P2406-002</t>
  </si>
  <si>
    <t>N2405-037A</t>
  </si>
  <si>
    <t>N2405-037B</t>
  </si>
  <si>
    <t>NDN24-07-09</t>
  </si>
  <si>
    <t>NDN24-05-08</t>
  </si>
  <si>
    <t>N2406-003A</t>
  </si>
  <si>
    <t>N2406-003B</t>
  </si>
  <si>
    <t>NDN24-06-08</t>
  </si>
  <si>
    <t>N2407-016A</t>
  </si>
  <si>
    <t>N2407-016B</t>
  </si>
  <si>
    <t>N2408-009A</t>
  </si>
  <si>
    <t>N2408-009B</t>
  </si>
  <si>
    <t>P2407-001</t>
  </si>
  <si>
    <t>PDN24-12-01</t>
  </si>
  <si>
    <t>P2408-001</t>
  </si>
  <si>
    <t>P2408-002</t>
  </si>
  <si>
    <t>P2408-003</t>
  </si>
  <si>
    <t>PDN25-01-01</t>
  </si>
  <si>
    <t>P2409-002</t>
  </si>
  <si>
    <t>PDN25-02-01</t>
  </si>
  <si>
    <t>P2409-001</t>
  </si>
  <si>
    <t>Total - Nacon - HSBC USD</t>
  </si>
  <si>
    <t>210.1 - Service Income (FX Adjustment)</t>
  </si>
  <si>
    <t>210.1</t>
  </si>
  <si>
    <t>Revenue</t>
  </si>
  <si>
    <t>Service Income (FX Adjustment)</t>
  </si>
  <si>
    <t>Manual Journal</t>
  </si>
  <si>
    <t>Altus year end adjustment - 07: To Reconcile Service Income</t>
  </si>
  <si>
    <t>#4215</t>
  </si>
  <si>
    <t>BAS Excluded</t>
  </si>
  <si>
    <t>Total 210.1 - Service Income (FX Adjustment)</t>
  </si>
  <si>
    <t>261 - Sales Recharges-OTHERS</t>
  </si>
  <si>
    <t>261</t>
  </si>
  <si>
    <t>Other Income</t>
  </si>
  <si>
    <t>Sales Recharges-OTHERS</t>
  </si>
  <si>
    <t>Receivable Invoice</t>
  </si>
  <si>
    <t>Nacon Gaming Inc. - PERSONNEL COST 2024/2025 PARTIAL
REFUNDS</t>
  </si>
  <si>
    <t>GST Free Income</t>
  </si>
  <si>
    <t>Nacon Gaming Inc. - PERSONAL COST 2024/2025 PARTIAL REFUNDS</t>
  </si>
  <si>
    <t>Altus - Half Year Intercompany Reports - FX Adjustment - Clear Minor Sales Recharge Variance through Bank Fees</t>
  </si>
  <si>
    <t>#4172</t>
  </si>
  <si>
    <t>Nacon Gaming Inc. - PERSONNEL COST 2024/2025 PARTIAL REFUNDS</t>
  </si>
  <si>
    <t>Receivable Credit Note</t>
  </si>
  <si>
    <t xml:space="preserve">Turn Left Distribution Pty Ltd - Sales Recharges- Air Freight Contribution </t>
  </si>
  <si>
    <t>PCN25-02-01</t>
  </si>
  <si>
    <t>PDN25-03-01</t>
  </si>
  <si>
    <t xml:space="preserve">Altus year end adjustment - 04: To clear minor variance in Sales recharge through Bank Fees </t>
  </si>
  <si>
    <t>Total 261 - Sales Recharges-OTHERS</t>
  </si>
  <si>
    <t>262 - REFUND of Sales Recharges</t>
  </si>
  <si>
    <t>262</t>
  </si>
  <si>
    <t>REFUND of Sales Recharges</t>
  </si>
  <si>
    <t>Altus 01: To record REFUND of Sales Recharges as per Client GL</t>
  </si>
  <si>
    <t>#3205</t>
  </si>
  <si>
    <t>Altus 01: To record REFUND OF PERSONNEL COST as per client GL</t>
  </si>
  <si>
    <t>#3302</t>
  </si>
  <si>
    <t>Altus 03: To record REFUND OF PERSONNEL COST as per client GL</t>
  </si>
  <si>
    <t>#4185</t>
  </si>
  <si>
    <t>#3551</t>
  </si>
  <si>
    <t>Altus 01: To record Refund of Personnel Cost as per client GL</t>
  </si>
  <si>
    <t>#3671</t>
  </si>
  <si>
    <t>#3760</t>
  </si>
  <si>
    <t>#3874</t>
  </si>
  <si>
    <t>#3930</t>
  </si>
  <si>
    <t>#3969</t>
  </si>
  <si>
    <t>#4054</t>
  </si>
  <si>
    <t>#4128</t>
  </si>
  <si>
    <t>Payable Credit Note</t>
  </si>
  <si>
    <t>Nacon (HK) Limited - NCN25-02-01 / PCN25-02-01, AIRFREIGHT COST FOR PCN23-12-01 / NCN23-1201 / P2311-005 / N2311-044 …</t>
  </si>
  <si>
    <t>#4152</t>
  </si>
  <si>
    <t>Total 262 - REFUND of Sales Recharges</t>
  </si>
  <si>
    <t>270 - Interest Income</t>
  </si>
  <si>
    <t>270</t>
  </si>
  <si>
    <t>Interest Income</t>
  </si>
  <si>
    <t>Bank Interest Received - Bank Interest</t>
  </si>
  <si>
    <t>Altus 03 : To reconcile Provision for Income tax &amp; record Interest on overpayment of Income Tax</t>
  </si>
  <si>
    <t>#3577</t>
  </si>
  <si>
    <t>Total 270 - Interest Income</t>
  </si>
  <si>
    <t>293 - RIG Wireless - Others</t>
  </si>
  <si>
    <t>293</t>
  </si>
  <si>
    <t>Sales</t>
  </si>
  <si>
    <t>RIG Wireless - Others</t>
  </si>
  <si>
    <t xml:space="preserve">Turn Left Distribution Pty Ltd - rig wireless others </t>
  </si>
  <si>
    <t>Turn Left Distribution Pty Ltd - RIG Wireless Others</t>
  </si>
  <si>
    <t>Altus - Half Year Intercompany Reports - FX Adjustment - Clear FY 2024 FX adjustment to trade payables</t>
  </si>
  <si>
    <t>Total 293 - RIG Wireless - Others</t>
  </si>
  <si>
    <t>296 - VGA - Others</t>
  </si>
  <si>
    <t>296</t>
  </si>
  <si>
    <t>VGA - Others</t>
  </si>
  <si>
    <t xml:space="preserve">Turn Left Distribution Pty Ltd - MULTISTREAMINGKIT1
</t>
  </si>
  <si>
    <t>Total 296 - VGA - Others</t>
  </si>
  <si>
    <t>299 - RUPC - PS5</t>
  </si>
  <si>
    <t>299</t>
  </si>
  <si>
    <t>RUPC - PS5</t>
  </si>
  <si>
    <t>Turn Left Distribution Pty Ltd - NACON REV 5 PRO, BLK, CTRL, WIRELESS,
PS5, SIE, US</t>
  </si>
  <si>
    <t>P2501-001</t>
  </si>
  <si>
    <t>Total 299 - RUPC - PS5</t>
  </si>
  <si>
    <t>300 - Corded RIG 300 (Non-Licensed)</t>
  </si>
  <si>
    <t>300</t>
  </si>
  <si>
    <t>Corded RIG 300 (Non-Licensed)</t>
  </si>
  <si>
    <t>Turn Left Distribution Pty Ltd - RIG300PRO HS, BLK, HDST,AU,EA</t>
  </si>
  <si>
    <t xml:space="preserve">Turn Left Distribution Pty Ltd - RIG300PRO HC, BLK, HDST, ATMOS, AU, US
</t>
  </si>
  <si>
    <t xml:space="preserve">Turn Left Distribution Pty Ltd - RIG300PRO HS, BLK, HDST, AU, EA
</t>
  </si>
  <si>
    <t xml:space="preserve">Turn Left Distribution Pty Ltd - RIG300PRO HS, WHT, HDST, AU, EA
</t>
  </si>
  <si>
    <t xml:space="preserve">Turn Left Distribution Pty Ltd - RIG300PRO HX, BLK, HDST, AU, EA
</t>
  </si>
  <si>
    <t>Turn Left Distribution Pty Ltd - RIG300PRO HX, WHT, HDST, AU, EA</t>
  </si>
  <si>
    <t>Altus - Half Yearly Report - Adjust FX for COS and Income accounts - Altus - Half Yearly Report - Adjust FX for COS and Income accounts</t>
  </si>
  <si>
    <t>#4174</t>
  </si>
  <si>
    <t>Turn Left Distribution Pty Ltd - RIG300PRO HS, BLK, HDST, AU, EA</t>
  </si>
  <si>
    <t>P2411-002</t>
  </si>
  <si>
    <t>Turn Left Distribution Pty Ltd - RIG300PRO HX, BLK, HDST, AU,EA</t>
  </si>
  <si>
    <t>Turn Left Distribution Pty Ltd - RIG300PRO HC,BLK, HDST, ATMOS, AU,US</t>
  </si>
  <si>
    <t>Turn Left Distribution Pty Ltd - RIG 300 PRO HS, PRPL, HDST, AU, EU</t>
  </si>
  <si>
    <t>P2501-003</t>
  </si>
  <si>
    <t>Turn Left Distribution Pty Ltd - RIG300PRO HX, BLK, HDST, AU, EA</t>
  </si>
  <si>
    <t>P2501-002</t>
  </si>
  <si>
    <t>Turn Left Distribution Pty Ltd - RIG300PRO HC, BLK, HDST, ATMOS, AU,
US</t>
  </si>
  <si>
    <t>Turn Left Distribution Pty Ltd - RIG300PRO HS, WHT, HDST, AU, EA</t>
  </si>
  <si>
    <t>Total 300 - Corded RIG 300 (Non-Licensed)</t>
  </si>
  <si>
    <t>301 - Corded RIG 400 (Non-Licensed)</t>
  </si>
  <si>
    <t>301</t>
  </si>
  <si>
    <t>Corded RIG 400 (Non-Licensed)</t>
  </si>
  <si>
    <t>Turn Left Distribution Pty Ltd - RIG400 HS, ARCTIC, ADST,AU,US</t>
  </si>
  <si>
    <t xml:space="preserve">Turn Left Distribution Pty Ltd - RIG400 HA, BLK, HDST, ATMOS, PC, AU, US
</t>
  </si>
  <si>
    <t xml:space="preserve">Turn Left Distribution Pty Ltd - RIG400HS, BLK, HDST, AU, US
</t>
  </si>
  <si>
    <t xml:space="preserve">Turn Left Distribution Pty Ltd - RIG400 HS, ARCTIC, HDST, AU, US
</t>
  </si>
  <si>
    <t>Turn Left Distribution Pty Ltd - RIG400HS, BLK, HDST, ATMOS, AU, US</t>
  </si>
  <si>
    <t>Turn Left Distribution Pty Ltd - RIG400 HS, ARCTIC, HDST, AU, US</t>
  </si>
  <si>
    <t>Turn Left Distribution Pty Ltd - RIG400HS, ARCTIC, HDST,AU US</t>
  </si>
  <si>
    <t>Total 301 - Corded RIG 400 (Non-Licensed)</t>
  </si>
  <si>
    <t>302 - Corded RIG 500 (Non-Licensed)</t>
  </si>
  <si>
    <t>302</t>
  </si>
  <si>
    <t>Corded RIG 500 (Non-Licensed)</t>
  </si>
  <si>
    <t xml:space="preserve">Turn Left Distribution Pty Ltd - RIG500PRO HS, G2, BLK, HDST, AU, US - REFER TO OUR INVOICE NO. P2403-001, YR PO#2210805 / PI#-PP...
</t>
  </si>
  <si>
    <t>P2405-004</t>
  </si>
  <si>
    <t xml:space="preserve">Turn Left Distribution Pty Ltd - RIG500PRO HS, G2, BLK, HDST, AU, US
</t>
  </si>
  <si>
    <t>Turn Left Distribution Pty Ltd - RIG500PRO HC, G2, BLK, HDST, ATMOS, AU, US</t>
  </si>
  <si>
    <t xml:space="preserve">Turn Left Distribution Pty Ltd - RIG500PRO HA, G2, BLK, HDST, ATMOS, AU, US
</t>
  </si>
  <si>
    <t>Turn Left Distribution Pty Ltd - RIG500PRO HS, G2, BLK, HDST, AU, US</t>
  </si>
  <si>
    <t>Total 302 - Corded RIG 500 (Non-Licensed)</t>
  </si>
  <si>
    <t>303 - Wireless RIG 600 (Non-Licensed)</t>
  </si>
  <si>
    <t>303</t>
  </si>
  <si>
    <t>Wireless RIG 600 (Non-Licensed)</t>
  </si>
  <si>
    <t xml:space="preserve">Turn Left Distribution Pty Ltd - RIG 600 PRO HS,BLK,HDST,WIRELESS,BT,CAN,AU,US
</t>
  </si>
  <si>
    <t>Turn Left Distribution Pty Ltd - RIG 600 PRO HS, ARCTIC, HDST, WIRELESS, BT, AU, US</t>
  </si>
  <si>
    <t>Turn Left Distribution Pty Ltd - RIG 600 PRO HS, BLK, HDST, WIRELESS, BT, CAN, AU, US</t>
  </si>
  <si>
    <t>Turn Left Distribution Pty Ltd - RIG 600 PRO 
HS, BLK, HDST, WIRELESS, BT, CAN,AU,AS</t>
  </si>
  <si>
    <t>P2411-001</t>
  </si>
  <si>
    <t>Total 303 - Wireless RIG 600 (Non-Licensed)</t>
  </si>
  <si>
    <t>304 - Wireless RIG 800 (Non-Licensed)</t>
  </si>
  <si>
    <t>304</t>
  </si>
  <si>
    <t>Wireless RIG 800 (Non-Licensed)</t>
  </si>
  <si>
    <t xml:space="preserve">Turn Left Distribution Pty Ltd - RIG800PRO HD, BLK, HDST, WIRELESS, ATMOS, AU, US
</t>
  </si>
  <si>
    <t xml:space="preserve">Turn Left Distribution Pty Ltd - RIG800PRO HS, BLK, HDST, WIRELESS, AU, US
</t>
  </si>
  <si>
    <t>Turn Left Distribution Pty Ltd - RIG800PRO HD, BLK, HDST, WIRELESS, ATMOS, AU, US</t>
  </si>
  <si>
    <t>P2410-001</t>
  </si>
  <si>
    <t>Turn Left Distribution Pty Ltd - RIG800PRO HD, BLK, HDST, WIRELESS, AU, US</t>
  </si>
  <si>
    <t>Total 304 - Wireless RIG 800 (Non-Licensed)</t>
  </si>
  <si>
    <t>305 - Wireless RIG 600 - MSX (Licensed)</t>
  </si>
  <si>
    <t>305</t>
  </si>
  <si>
    <t>Wireless RIG 600 - MSX (Licensed)</t>
  </si>
  <si>
    <t xml:space="preserve">Turn Left Distribution Pty Ltd - RIG 600 PRO HX, BLK, HDST, WIRELESS, BT, MSX, CAN, AU, US
</t>
  </si>
  <si>
    <t xml:space="preserve">Turn Left Distribution Pty Ltd - RIG 600 PRO HX, URBAN, HDST, WIRELESS, BT, MSX, AU, US
</t>
  </si>
  <si>
    <t>Turn Left Distribution Pty Ltd - RIG 600 PRO HX, BLK, HDST, WIRELESS,
BT, MSX, CAN, AU, US</t>
  </si>
  <si>
    <t>Total 305 - Wireless RIG 600 - MSX (Licensed)</t>
  </si>
  <si>
    <t>306 - Wireless RIG 800 - MSX (Licensed)</t>
  </si>
  <si>
    <t>306</t>
  </si>
  <si>
    <t>Wireless RIG 800 - MSX (Licensed)</t>
  </si>
  <si>
    <t xml:space="preserve">Turn Left Distribution Pty Ltd - RIG800PRO HX, HDST, WIRELESS, MSX, ATMOS, AU, US
</t>
  </si>
  <si>
    <t>Turn Left Distribution Pty Ltd - RIG800PRO HX, HDST,WIRELESS, MSX, ATMOS, AU, US</t>
  </si>
  <si>
    <t>Total 306 - Wireless RIG 800 - MSX (Licensed)</t>
  </si>
  <si>
    <t>307 - Corded RIG 400 - MSX (Licensed)</t>
  </si>
  <si>
    <t>307</t>
  </si>
  <si>
    <t>Corded RIG 400 - MSX (Licensed)</t>
  </si>
  <si>
    <t>Turn Left Distribution Pty Ltd - RIG400HK, BLK, HDST, ATMOS, MSX, AU, US</t>
  </si>
  <si>
    <t>Turn Left Distribution Pty Ltd - RIG400HX, BLK, HDST, ATMOS, MSX,AU US</t>
  </si>
  <si>
    <t>Total 307 - Corded RIG 400 - MSX (Licensed)</t>
  </si>
  <si>
    <t>308 - Corded RIG 500 - MSX (Licensed)</t>
  </si>
  <si>
    <t>308</t>
  </si>
  <si>
    <t>Corded RIG 500 - MSX (Licensed)</t>
  </si>
  <si>
    <t>Turn Left Distribution Pty Ltd - RIG500PRO HX, G2, BLK, HDST, MSX, ATMOS, AU, US</t>
  </si>
  <si>
    <t>Turn Left Distribution Pty Ltd - RIG 500PRO HX, G2, BLK, HDST, MSX, ATMOS, AU, US</t>
  </si>
  <si>
    <t>Total 308 - Corded RIG 500 - MSX (Licensed)</t>
  </si>
  <si>
    <t>309 - Wireless RIG 900 - MSX (Licensed)</t>
  </si>
  <si>
    <t>309</t>
  </si>
  <si>
    <t>Wireless RIG 900 - MSX (Licensed)</t>
  </si>
  <si>
    <t>Turn Left Distribution Pty Ltd - RIG 900 MAX HX, BLK,HDST, WIRELESS , MSX, ATMOS, AU, US</t>
  </si>
  <si>
    <t>Total 309 - Wireless RIG 900 - MSX (Licensed)</t>
  </si>
  <si>
    <t>310 - Other RIG Accessories (Non Licensed)</t>
  </si>
  <si>
    <t>310</t>
  </si>
  <si>
    <t>Other RIG Accessories (Non Licensed)</t>
  </si>
  <si>
    <t>Turn Left Distribution Pty Ltd - SPARE, DUAL MATERIAL EAR CUSHIONS, PAIR, BLK, RIG700, 800, 800 PRO SERIES</t>
  </si>
  <si>
    <t>Turn Left Distribution Pty Ltd - SPARE, MIC, AFTER AUG 2019 , BLK, RIG400 SERIES</t>
  </si>
  <si>
    <t>Turn Left Distribution Pty Ltd - SPARE, MIC, BLK/GUNMETAL, RIG500 PRO, EX BLACK</t>
  </si>
  <si>
    <t>Turn Left Distribution Pty Ltd - SPARE AUDIO CABLE WITH GAME AUDIO DAIL , RIG 500</t>
  </si>
  <si>
    <t>Turn Left Distribution Pty Ltd - SPARE., MIC, BLK/ COOPER, RIG 500</t>
  </si>
  <si>
    <t>Turn Left Distribution Pty Ltd - SPARE, AUDIO CABLE WITH INLINE, RIG 500 PRO , HA, PC</t>
  </si>
  <si>
    <t>Turn Left Distribution Pty Ltd - SPARE, DUAL MATERIAL EAR CUSHIONS, PAIR , BLK, RIG500 PRO SERIES</t>
  </si>
  <si>
    <t>Total 310 - Other RIG Accessories (Non Licensed)</t>
  </si>
  <si>
    <t>381 - REFUND OF PERSONNEL COST</t>
  </si>
  <si>
    <t>381</t>
  </si>
  <si>
    <t>REFUND OF PERSONNEL COST</t>
  </si>
  <si>
    <t>Total 381 - REFUND OF PERSONNEL COST</t>
  </si>
  <si>
    <t>385 - Purchases Recharges - Others</t>
  </si>
  <si>
    <t>385</t>
  </si>
  <si>
    <t>Expense</t>
  </si>
  <si>
    <t>Purchases Recharges - Others</t>
  </si>
  <si>
    <t>Altus year end adjustment - 05: To Clear Rounding from Intercompany Accounts</t>
  </si>
  <si>
    <t>Total 385 - Purchases Recharges - Others</t>
  </si>
  <si>
    <t>400 - Accounting Fees</t>
  </si>
  <si>
    <t>400</t>
  </si>
  <si>
    <t>Accounting Fees</t>
  </si>
  <si>
    <t>Payable Invoice</t>
  </si>
  <si>
    <t>ALTUS BUSINESS ADVISERS PTY LTD - MONTHLY FEE FOR PROFESSIONAL SERVICES AS PER ANNUAL AGREEMENT, AUD 2,367.25, INV#1037335, GST AU...</t>
  </si>
  <si>
    <t>GST on Expenses</t>
  </si>
  <si>
    <t>ALTUS BUSINESS ADVISERS PTY LTD - PREPARATION AND LODGEMENT OF THE FRINGE BENEFITS TAX RETURN FOR THE YEAR ENDED 31 MAR 2024</t>
  </si>
  <si>
    <t>ALTUS BUSINESS ADVISERS PTY LTD - MONTHLY FEE FOR PROFESSIONAL SERVICES AS PER ANNUAL AGREEMENT, AUD 2,500, INV#1039095, GST AUD 250</t>
  </si>
  <si>
    <t>ALTUS BUSINESS ADVISERS PTY LTD - MONTHLY FEE FOR PROFESSIONAL SERVICES AS PER ANNUAL AGREEMENT, AUD 2,500, INV#1041213, GST AUD 250</t>
  </si>
  <si>
    <t xml:space="preserve">ALTUS BUSINESS ADVISERS PTY LTD - MONTHLY FEE FOR PROFESSIONAL SERVICES AS PER ANNUAL AGREEMENT, AUD 2,500, INV#1043795, GST AUD 250
</t>
  </si>
  <si>
    <t xml:space="preserve">ALTUS BUSINESS ADVISERS PTY LTD - MONTHLY FEE FOR PROFESSIONAL SERVICES AS PER ANNUAL AGREEMENT, AUD 2,500, INV#1045030, GST AUD 250
</t>
  </si>
  <si>
    <t xml:space="preserve">ALTUS BUSINESS ADVISERS PTY LTD - MONTHLY FEE FOR PROFESSIONAL SERVICES AS PER ANNUAL AGREEMENT, AUD 2,500, INV#1048542, GST AUD 250
</t>
  </si>
  <si>
    <t xml:space="preserve">ALTUS BUSINESS ADVISERS PTY LTD - MONTHLY FEE FOR PROFESSIONAL SERVICES AS PER ANNUAL AGREEMENT, AUD 2,500, INV#1049889, GST AUD 250
</t>
  </si>
  <si>
    <t xml:space="preserve">ALTUS BUSINESS ADVISERS PTY LTD - MONTHLY FEE FOR PROFESSIONAL SERVICES AS PER ANNUAL AGREEMENT, AUD 2,500, INV#1051204, GST AUD 250
</t>
  </si>
  <si>
    <t xml:space="preserve">ALTUS BUSINESS ADVISERS PTY LTD - MONTHLY FEE FOR PROFESSIONAL SERVICES AS PER ANNUAL AGREEMENT, AUD 2,500, INV#1052655, GST AUD 250
</t>
  </si>
  <si>
    <t>1052655</t>
  </si>
  <si>
    <t xml:space="preserve">ALTUS BUSINESS ADVISERS PTY LTD - MONTHLY FEE FOR PROFESSIONAL SERVICES AS PER ANNUAL AGREEMENT, AUD 2,500, INV#1054476, GST AUD 250
</t>
  </si>
  <si>
    <t>1054476</t>
  </si>
  <si>
    <t>Total 400 - Accounting Fees</t>
  </si>
  <si>
    <t>402 - Advertising &amp; Marketing</t>
  </si>
  <si>
    <t>402</t>
  </si>
  <si>
    <t>Advertising &amp; Marketing</t>
  </si>
  <si>
    <t>Turn Left Distribution Pty Ltd - 1.5% OF US$ 45,833.40 FOR FAULTY /
DEFECTIVE RETURNS (APRIL TO JUN 2024)</t>
  </si>
  <si>
    <t>PCN24-09-01</t>
  </si>
  <si>
    <t>Total 402 - Advertising &amp; Marketing</t>
  </si>
  <si>
    <t>416 - Depreciation</t>
  </si>
  <si>
    <t>416</t>
  </si>
  <si>
    <t>Depreciation</t>
  </si>
  <si>
    <t>Depreciation of FA-0002 on 30 Apr 2024.</t>
  </si>
  <si>
    <t>Depreciation of FA-0003 on 30 Apr 2024.</t>
  </si>
  <si>
    <t>Depreciation of FA-0004 on 30 Apr 2024.</t>
  </si>
  <si>
    <t>Depreciation of FA-0005 on 30 Apr 2024.</t>
  </si>
  <si>
    <t>Depreciation of FA-0002 on 31 May 2024.</t>
  </si>
  <si>
    <t>Depreciation of FA-0003 on 31 May 2024.</t>
  </si>
  <si>
    <t>Depreciation of FA-0004 on 31 May 2024.</t>
  </si>
  <si>
    <t>Depreciation of FA-0005 on 31 May 2024.</t>
  </si>
  <si>
    <t>Depreciation of FA-0002 on 30 Jun 2024.</t>
  </si>
  <si>
    <t>Depreciation of FA-0003 on 30 Jun 2024.</t>
  </si>
  <si>
    <t>Depreciation of FA-0004 on 30 Jun 2024.</t>
  </si>
  <si>
    <t>Depreciation of FA-0005 on 30 Jun 2024.</t>
  </si>
  <si>
    <t>Depreciation of FA-0002 on 31 Jul 2024.</t>
  </si>
  <si>
    <t>Depreciation of FA-0003 on 31 Jul 2024.</t>
  </si>
  <si>
    <t>Depreciation of FA-0004 on 31 Jul 2024.</t>
  </si>
  <si>
    <t>Depreciation of FA-0005 on 31 Jul 2024.</t>
  </si>
  <si>
    <t>Depreciation of FA-0002 on 31 Aug 2024.</t>
  </si>
  <si>
    <t>Depreciation of FA-0003 on 31 Aug 2024.</t>
  </si>
  <si>
    <t>Depreciation of FA-0004 on 31 Aug 2024.</t>
  </si>
  <si>
    <t>Depreciation of FA-0005 on 31 Aug 2024.</t>
  </si>
  <si>
    <t>Depreciation of FA-0002 on 30 Sep 2024.</t>
  </si>
  <si>
    <t>Depreciation of FA-0003 on 30 Sep 2024.</t>
  </si>
  <si>
    <t>Depreciation of FA-0004 on 30 Sep 2024.</t>
  </si>
  <si>
    <t>Depreciation of FA-0005 on 30 Sep 2024.</t>
  </si>
  <si>
    <t>Depreciation of FA-0002 on 31 Oct 2024.</t>
  </si>
  <si>
    <t>Depreciation of FA-0003 on 31 Oct 2024.</t>
  </si>
  <si>
    <t>Depreciation of FA-0004 on 31 Oct 2024.</t>
  </si>
  <si>
    <t>Depreciation of FA-0005 on 31 Oct 2024.</t>
  </si>
  <si>
    <t>Depreciation of FA-0002 on 30 Nov 2024.</t>
  </si>
  <si>
    <t>Depreciation of FA-0003 on 30 Nov 2024.</t>
  </si>
  <si>
    <t>Depreciation of FA-0004 on 30 Nov 2024.</t>
  </si>
  <si>
    <t>Depreciation of FA-0005 on 30 Nov 2024.</t>
  </si>
  <si>
    <t>Depreciation of FA-0002 on 31 Dec 2024.</t>
  </si>
  <si>
    <t>Depreciation of FA-0003 on 31 Dec 2024.</t>
  </si>
  <si>
    <t>Depreciation of FA-0004 on 31 Dec 2024.</t>
  </si>
  <si>
    <t>Depreciation of FA-0005 on 31 Dec 2024.</t>
  </si>
  <si>
    <t>Depreciation of FA-0002 on 31 Jan 2025.</t>
  </si>
  <si>
    <t>Depreciation of FA-0003 on 31 Jan 2025.</t>
  </si>
  <si>
    <t>Depreciation of FA-0004 on 31 Jan 2025.</t>
  </si>
  <si>
    <t>Depreciation of FA-0005 on 31 Jan 2025.</t>
  </si>
  <si>
    <t>Depreciation of FA-0002 on 28 Feb 2025.</t>
  </si>
  <si>
    <t>Depreciation of FA-0003 on 28 Feb 2025.</t>
  </si>
  <si>
    <t>Depreciation of FA-0004 on 28 Feb 2025.</t>
  </si>
  <si>
    <t>Depreciation of FA-0005 on 28 Feb 2025.</t>
  </si>
  <si>
    <t>Depreciation of FA-0002 on 31 Mar 2025.</t>
  </si>
  <si>
    <t>Depreciation of FA-0003 on 31 Mar 2025.</t>
  </si>
  <si>
    <t>Depreciation of FA-0004 on 31 Mar 2025.</t>
  </si>
  <si>
    <t>Depreciation of FA-0005 on 31 Mar 2025.</t>
  </si>
  <si>
    <t>Total 416 - Depreciation</t>
  </si>
  <si>
    <t>423 - Bonus</t>
  </si>
  <si>
    <t>423</t>
  </si>
  <si>
    <t>Bonus</t>
  </si>
  <si>
    <t xml:space="preserve">Altus Adjustment - 02: To record Bonus </t>
  </si>
  <si>
    <t>#4183</t>
  </si>
  <si>
    <t xml:space="preserve">Altus year end adjustment - 10: To group Bonus with wages </t>
  </si>
  <si>
    <t>Total 423 - Bonus</t>
  </si>
  <si>
    <t>433 - Insurance</t>
  </si>
  <si>
    <t>433</t>
  </si>
  <si>
    <t>Insurance</t>
  </si>
  <si>
    <t>Altus 02: To record Prepayment</t>
  </si>
  <si>
    <t>#3207</t>
  </si>
  <si>
    <t>Altus 03: To record Expenses from Prepayment</t>
  </si>
  <si>
    <t>#3333</t>
  </si>
  <si>
    <t>Altus 04: To record Expenses from Prepayment</t>
  </si>
  <si>
    <t>#3403</t>
  </si>
  <si>
    <t>INSURANCE ADVISERNET AUSTRALIA PTY LT - MANAGEMENT LIABILITY INSURANCE RENEWAL FROM 24 JUN 2024 TO 24 JUN 2025, AUD 5,495.36, GST - 441.60</t>
  </si>
  <si>
    <t>INSURANCE ADVISERNET AUSTRALIA PTY LT - Stamp Duty</t>
  </si>
  <si>
    <t>GST Free Expenses</t>
  </si>
  <si>
    <t xml:space="preserve">Altus year end adjustment - 01: To reconcile Prepayments </t>
  </si>
  <si>
    <t>Total 433 - Insurance</t>
  </si>
  <si>
    <t>436 - Management Service Fee</t>
  </si>
  <si>
    <t>436</t>
  </si>
  <si>
    <t>Management Service Fee</t>
  </si>
  <si>
    <t>Nacon (HK) Limited - MANAGEMENT FEE FOR FY24/25 -
2024-04APR</t>
  </si>
  <si>
    <t>Nacon (HK) Limited - MANAGEMENT FEE FOR FY24/25 -
2024-05MAY</t>
  </si>
  <si>
    <t>Nacon (HK) Limited - NDN24-06-08, MANAGEMENT FEE FOR FY24/25 - 2024-06JUN</t>
  </si>
  <si>
    <t>Nacon (HK) Limited - MANAGEMENT FEE FOR FY23/24</t>
  </si>
  <si>
    <t>NDN24-08-06</t>
  </si>
  <si>
    <t>Altus - Half Year Intercompany Reports - FX Adjustment - Clear Minor Purchase Recharge Variance through Bank Fees</t>
  </si>
  <si>
    <t>NDN24-09-08</t>
  </si>
  <si>
    <t>NDN24-10-08</t>
  </si>
  <si>
    <t>Nacon (HK) Limited - MANAGEMENT FEE FOR FY24/25</t>
  </si>
  <si>
    <t>NDN24-11-03</t>
  </si>
  <si>
    <t>NDN24-12-08</t>
  </si>
  <si>
    <t>NDN25-01-08</t>
  </si>
  <si>
    <t>NDN25-02-03</t>
  </si>
  <si>
    <t>NDN25-03-04</t>
  </si>
  <si>
    <t>Total 436 - Management Service Fee</t>
  </si>
  <si>
    <t>442 - Filing Fees</t>
  </si>
  <si>
    <t>442</t>
  </si>
  <si>
    <t>Filing Fees</t>
  </si>
  <si>
    <t xml:space="preserve">AUSTRALIAN SECURITIES &amp; INVESTMENTS COMMISSION - 2024 ASIC Annual Company Statement - Nacon Pty Ltd
</t>
  </si>
  <si>
    <t>Total 442 - Filing Fees</t>
  </si>
  <si>
    <t>459 - Payroll Tax Expense</t>
  </si>
  <si>
    <t>459</t>
  </si>
  <si>
    <t>Payroll Tax Expense</t>
  </si>
  <si>
    <t>Altus Adjustment - 03: To accrue Payroll Tax Expense</t>
  </si>
  <si>
    <t>Total 459 - Payroll Tax Expense</t>
  </si>
  <si>
    <t>477 - Wages &amp; Salaries</t>
  </si>
  <si>
    <t>477</t>
  </si>
  <si>
    <t>Wages &amp; Salaries</t>
  </si>
  <si>
    <t>Payroll Expense</t>
  </si>
  <si>
    <t>Earnings</t>
  </si>
  <si>
    <t>Payroll Expense Journal - PD-94</t>
  </si>
  <si>
    <t>Payroll Expense Journal - PD-96</t>
  </si>
  <si>
    <t>Payroll Expense Journal - PD-98</t>
  </si>
  <si>
    <t>Payroll Expense Journal - PD-99</t>
  </si>
  <si>
    <t>Payroll Expense Journal - PD-100</t>
  </si>
  <si>
    <t>Payroll Expense Journal - PD-101</t>
  </si>
  <si>
    <t>Payroll Expense Journal - PD-102</t>
  </si>
  <si>
    <t>Payroll Expense Journal - PD-103</t>
  </si>
  <si>
    <t>Payroll Expense Journal - PD-105</t>
  </si>
  <si>
    <t>Payroll Expense Journal - PD-106</t>
  </si>
  <si>
    <t>Payroll Expense Journal - PD-108</t>
  </si>
  <si>
    <t>Payroll Expense Journal - PD-113</t>
  </si>
  <si>
    <t xml:space="preserve">Altus Adjustment - 04: To reallocate Pre Tax Voluntary Contribution </t>
  </si>
  <si>
    <t>Total 477 - Wages &amp; Salaries</t>
  </si>
  <si>
    <t>478 - Superannuation</t>
  </si>
  <si>
    <t>478</t>
  </si>
  <si>
    <t>Superannuation</t>
  </si>
  <si>
    <t>Superannuation Expense</t>
  </si>
  <si>
    <t>Total 478 - Superannuation</t>
  </si>
  <si>
    <t>479 - Workcover Insurance</t>
  </si>
  <si>
    <t>479</t>
  </si>
  <si>
    <t>Workcover Insurance</t>
  </si>
  <si>
    <t xml:space="preserve">VICTORIAN WORKCOVER AUTH ALLIANZ - Payment of AUD 2125.56; </t>
  </si>
  <si>
    <t xml:space="preserve">Altus year end adjustment - 02: To reconcile Prepayments - Work cover Insurance </t>
  </si>
  <si>
    <t>Total 479 - Workcover Insurance</t>
  </si>
  <si>
    <t>485 - Subscriptions &amp; Memberships</t>
  </si>
  <si>
    <t>485</t>
  </si>
  <si>
    <t>Subscriptions &amp; Memberships</t>
  </si>
  <si>
    <t>Adobe Systems Software Ireland LTD - Creative Cloud ALL MLP License 
Sub Renewal MAU</t>
  </si>
  <si>
    <t>Adobe Systems Software Ireland LTD - Adobe Stock Other ALL MLP 
License Sub Renewal MAU 
TEAM 40 IMAGE</t>
  </si>
  <si>
    <t>Adobe Systems Software Ireland LTD - Stock Credit Pack ALL MLP 
Team Consumption NEW MAU 
40 CREDIT PACK</t>
  </si>
  <si>
    <t>Adobe Systems Software Ireland Ltd. - Creative Cloud ALL MLP License Subscription MAU</t>
  </si>
  <si>
    <t>Total 485 - Subscriptions &amp; Memberships</t>
  </si>
  <si>
    <t>496 - Annual Leave Expense</t>
  </si>
  <si>
    <t>496</t>
  </si>
  <si>
    <t>Annual Leave Expense</t>
  </si>
  <si>
    <t>Altus 03: To record Annual Leave</t>
  </si>
  <si>
    <t>#3206</t>
  </si>
  <si>
    <t>Altus 02: To record Annual Leave</t>
  </si>
  <si>
    <t>#3326</t>
  </si>
  <si>
    <t>Altus 01: To record Annual Leave for the month</t>
  </si>
  <si>
    <t>#3378</t>
  </si>
  <si>
    <t>Altus 02: To record Annual Leave for the month</t>
  </si>
  <si>
    <t>#3563</t>
  </si>
  <si>
    <t>Altus 03 : To record Annual Leave Expense for the month</t>
  </si>
  <si>
    <t>#3718</t>
  </si>
  <si>
    <t>Altus 02 : To record Annual Expense for the month</t>
  </si>
  <si>
    <t>#3794</t>
  </si>
  <si>
    <t>#3875</t>
  </si>
  <si>
    <t>#3931</t>
  </si>
  <si>
    <t>#3970</t>
  </si>
  <si>
    <t>#4059</t>
  </si>
  <si>
    <t>#4112</t>
  </si>
  <si>
    <t>Altus Adjustment - 01: To record Annual Leave Expense</t>
  </si>
  <si>
    <t>Total 496 - Annual Leave Expense</t>
  </si>
  <si>
    <t>497 - Long Service Leave Expense</t>
  </si>
  <si>
    <t>497</t>
  </si>
  <si>
    <t>Long Service Leave Expense</t>
  </si>
  <si>
    <t xml:space="preserve">Altus year end adjustment - 08: To Reconcile Provision for Long service Leave
</t>
  </si>
  <si>
    <t>Total 497 - Long Service Leave Expense</t>
  </si>
  <si>
    <t>497B - Bank Revaluations</t>
  </si>
  <si>
    <t>497B</t>
  </si>
  <si>
    <t>Bank Revaluations</t>
  </si>
  <si>
    <t>Total 497B - Bank Revaluations</t>
  </si>
  <si>
    <t>498U - Unrealised Currency Gains</t>
  </si>
  <si>
    <t>498U</t>
  </si>
  <si>
    <t>Unrealised Currency Gains</t>
  </si>
  <si>
    <t>Total 498U - Unrealised Currency Gains</t>
  </si>
  <si>
    <t>499R - Realised Currency Gains</t>
  </si>
  <si>
    <t>499R</t>
  </si>
  <si>
    <t>Realised Currency Gains</t>
  </si>
  <si>
    <t>Receivable Credit Note Allocation</t>
  </si>
  <si>
    <t>Altus year end adjustment - 06: To Clear Rounding from Intercompany Accounts</t>
  </si>
  <si>
    <t>Total 499R - Realised Currency Gains</t>
  </si>
  <si>
    <t>505 - Income Tax Expense</t>
  </si>
  <si>
    <t>505</t>
  </si>
  <si>
    <t>Income Tax Expense</t>
  </si>
  <si>
    <t>Altus year end adjustment - 03: To record Income Tax Expense</t>
  </si>
  <si>
    <t>Total 505 - Income Tax Expense</t>
  </si>
  <si>
    <t>506.1 - Cost of Goods Sold (FX Adjustment)</t>
  </si>
  <si>
    <t>506.1</t>
  </si>
  <si>
    <t>Cost of Goods Sold (FX Adjustment)</t>
  </si>
  <si>
    <t>Altus year end adjustment - 09: To reverse Cost of Sales adjustment (Interims)</t>
  </si>
  <si>
    <t>Total 506.1 - Cost of Goods Sold (FX Adjustment)</t>
  </si>
  <si>
    <t>512 - Purchase VGA - Others</t>
  </si>
  <si>
    <t>512</t>
  </si>
  <si>
    <t>Direct Costs</t>
  </si>
  <si>
    <t>Purchase VGA - Others</t>
  </si>
  <si>
    <t>Nacon (HK) Limited - MULTISTREAMINGKIT1</t>
  </si>
  <si>
    <t>Total 512 - Purchase VGA - Others</t>
  </si>
  <si>
    <t>512 03 - Purchase RUPC - PS5</t>
  </si>
  <si>
    <t>512 03</t>
  </si>
  <si>
    <t>Purchase RUPC - PS5</t>
  </si>
  <si>
    <t>Nacon (HK) Limited - NACON REV 5 PRO, BLK, CTRL,
WIRELESS, PS5, SIE, US</t>
  </si>
  <si>
    <t>N2501-017A</t>
  </si>
  <si>
    <t>Total 512 03 - Purchase RUPC - PS5</t>
  </si>
  <si>
    <t>514 - Bank Charges</t>
  </si>
  <si>
    <t>514</t>
  </si>
  <si>
    <t>Bank Charges</t>
  </si>
  <si>
    <t>Bank fees - Bank Fees</t>
  </si>
  <si>
    <t>Bank charges - Bank Charges</t>
  </si>
  <si>
    <t xml:space="preserve">Bank charges - Bank charges </t>
  </si>
  <si>
    <t>Altus 02 : To clear Rounding through Bank Charges</t>
  </si>
  <si>
    <t>#3379</t>
  </si>
  <si>
    <t>Altus 03 : To clear Rounding off through Bank Charges</t>
  </si>
  <si>
    <t>#3797</t>
  </si>
  <si>
    <t>#3876</t>
  </si>
  <si>
    <t>Total 514 - Bank Charges</t>
  </si>
  <si>
    <t>520 - Purchase Corded Rig 300 (Non- Licensed)</t>
  </si>
  <si>
    <t>520</t>
  </si>
  <si>
    <t>Purchase Corded Rig 300 (Non- Licensed)</t>
  </si>
  <si>
    <t>Nacon (HK) Limited - RIG300PRO HS, BLK, HDST, AU, EA</t>
  </si>
  <si>
    <t>Nacon (HK) Limited - RIG 300 PRO HC, BLK, HDST, ATMOS,
AU, US</t>
  </si>
  <si>
    <t>Nacon (HK) Limited - RIG300PRO HS, WHT, HDST, AU, EA</t>
  </si>
  <si>
    <t>Nacon (HK) Limited - RIG300PRO HX, BLK, HDST, AU, EA</t>
  </si>
  <si>
    <t>Nacon (HK) Limited - RIG 300 PRO HC, BLK, HDST, ATMOS, AU,US</t>
  </si>
  <si>
    <t>Nacon (HK) Limited - AS PER PO#2211111 / PI#NPI-0991
RIG300PRO HS, BLK, HDST, AU, EA</t>
  </si>
  <si>
    <t>Nacon (HK) Limited - RIG300PRO HX, WHT, HDST, AU, EA</t>
  </si>
  <si>
    <t>N2406-025</t>
  </si>
  <si>
    <t>Nacon (HK) Limited -  RIG300PRO HS, BLK, HDST, AU, EA</t>
  </si>
  <si>
    <t>N2411-012</t>
  </si>
  <si>
    <t xml:space="preserve">Nacon (HK) Limited -  RIG 300 PRO HC, BLK, HDST, ATMOS,
AU, US
</t>
  </si>
  <si>
    <t>Nacon (HK) Limited - RIG 300 PRO HS,PRPL,HDST,AU,EU</t>
  </si>
  <si>
    <t>N2501-032</t>
  </si>
  <si>
    <t>N2501-031</t>
  </si>
  <si>
    <t>Total 520 - Purchase Corded Rig 300 (Non- Licensed)</t>
  </si>
  <si>
    <t>521 - Purchase Corded Rig 400 (Non- Licensed)</t>
  </si>
  <si>
    <t>521</t>
  </si>
  <si>
    <t>Purchase Corded Rig 400 (Non- Licensed)</t>
  </si>
  <si>
    <t>Nacon (HK) Limited - RIG 400 HS, ARCTIC, HDST, AU, US</t>
  </si>
  <si>
    <t xml:space="preserve">Nacon (HK) Limited - AS PER PO#2211111 / PI#PI#NPI-0991
</t>
  </si>
  <si>
    <t>Nacon (HK) Limited - RIG400 HA, BLK, HDST, ATMOS, PC,
AU, US</t>
  </si>
  <si>
    <t>Nacon (HK) Limited - RIG400HS, BLK, HDST, AU, US</t>
  </si>
  <si>
    <t>Nacon (HK) Limited - RIG 400 HS, Arctic&lt;HDST, AU, US</t>
  </si>
  <si>
    <t>Nacon (HK) Limited - RIG 400 HS, ARCTIC, HDST, AU, US, RIG400 HX, BLK, HDST, ATMOS, MSX, AU, US</t>
  </si>
  <si>
    <t>N2409-003A</t>
  </si>
  <si>
    <t>Total 521 - Purchase Corded Rig 400 (Non- Licensed)</t>
  </si>
  <si>
    <t>522 - Purchase Corded Rig 500 (Non- Licensed)</t>
  </si>
  <si>
    <t>522</t>
  </si>
  <si>
    <t>Purchase Corded Rig 500 (Non- Licensed)</t>
  </si>
  <si>
    <t>Nacon (HK) Limited - RIG500PRO HS, G2, BLK, HDST, AU,
US</t>
  </si>
  <si>
    <t>Nacon (HK) Limited - RIG500PRO HC, G2, BLK, HDST, ATMOS, AU, US</t>
  </si>
  <si>
    <t>Nacon (HK) Limited - RIG500PRO, HA, G2, BLK HDST, ATMOS, AU, US</t>
  </si>
  <si>
    <t>Nacon (HK) Limited - RIG 500 PRO HS, G1, BLK, HDST, AU, US</t>
  </si>
  <si>
    <t>Total 522 - Purchase Corded Rig 500 (Non- Licensed)</t>
  </si>
  <si>
    <t>523 - Purchase Corded Rig 600 (Non- Licensed)</t>
  </si>
  <si>
    <t>523</t>
  </si>
  <si>
    <t>Purchase Corded Rig 600 (Non- Licensed)</t>
  </si>
  <si>
    <t>Nacon (HK) Limited - RIG600PRO HS, BLK, HDST,
WIRELESS, CAN, AU, US</t>
  </si>
  <si>
    <t>Total 523 - Purchase Corded Rig 600 (Non- Licensed)</t>
  </si>
  <si>
    <t>525 - Purchase Wireless Rig 600 (Non Licensed)</t>
  </si>
  <si>
    <t>525</t>
  </si>
  <si>
    <t>Purchase Wireless Rig 600 (Non Licensed)</t>
  </si>
  <si>
    <t>Nacon (HK) Limited - RIG 600 PRO HS , ARCTIC, HDST, WIRELESS, BT, AU, US</t>
  </si>
  <si>
    <t>N2409-004</t>
  </si>
  <si>
    <t xml:space="preserve">Nacon (HK) Limited - RIG600PRO HS, BLK, HDST,
WIRELESS, CAN, AU, US
</t>
  </si>
  <si>
    <t>N2411-011A</t>
  </si>
  <si>
    <t>Total 525 - Purchase Wireless Rig 600 (Non Licensed)</t>
  </si>
  <si>
    <t>526 - Purchase Wireless Rig 800</t>
  </si>
  <si>
    <t>526</t>
  </si>
  <si>
    <t>Purchase Wireless Rig 800</t>
  </si>
  <si>
    <t>Nacon (HK) Limited - RIG800PRO HD, BLK, HDST,
WIRELESS, ATMOS, AU, US</t>
  </si>
  <si>
    <t>Nacon (HK) Limited - RIG800PRO HS, BLK, HDST,
WIRELESS, AU, US</t>
  </si>
  <si>
    <t>Nacon (HK) Limited - RIG800PRO HD, BLK, HDST, WIRELESS, ATMOS, AU, US</t>
  </si>
  <si>
    <t>N2410-055A</t>
  </si>
  <si>
    <t>Nacon (HK) Limited - RIG800PRO HS, BLK, HDST, WIRELESS, AU, US</t>
  </si>
  <si>
    <t>Total 526 - Purchase Wireless Rig 800</t>
  </si>
  <si>
    <t>527 - Purchase Wireless Rig 800 - MSX</t>
  </si>
  <si>
    <t>527</t>
  </si>
  <si>
    <t>Purchase Wireless Rig 800 - MSX</t>
  </si>
  <si>
    <t>Nacon (HK) Limited - #10-1172-01 RIG800PRO HX -
Development amortization</t>
  </si>
  <si>
    <t>Nacon (HK) Limited - #10-1172-01 RIG800PROHX - Dolby
Royalty</t>
  </si>
  <si>
    <t>Nacon (HK) Limited - #10-1172-01 RIG800PROHX - Xbox
Chip Royalty</t>
  </si>
  <si>
    <t>Nacon (HK) Limited - RIG800PRO HX, HDST, WIRELESS,
MSX, ATMOS, AU, US</t>
  </si>
  <si>
    <t>Nacon (HK) Limited - RIG800PRO HX, HDST, WIRELESS, MSX, ATMOS, AU, US</t>
  </si>
  <si>
    <t>N2410-055B</t>
  </si>
  <si>
    <t xml:space="preserve">Nacon (HK) Limited - #10-1172-01 RIG800PROHX - Dolby
Royalty
</t>
  </si>
  <si>
    <t xml:space="preserve">Nacon (HK) Limited - #10-1172-01 RIG800PROHX - Xbox
Chip Royalty
</t>
  </si>
  <si>
    <t>Nacon (HK) Limited -  #10-1172-01 RIG800PRO HX - MD</t>
  </si>
  <si>
    <t>Total 527 - Purchase Wireless Rig 800 - MSX</t>
  </si>
  <si>
    <t>528 - Purchase Wireless Rig 600 - MSX</t>
  </si>
  <si>
    <t>528</t>
  </si>
  <si>
    <t>Purchase Wireless Rig 600 - MSX</t>
  </si>
  <si>
    <t>Nacon (HK) Limited - RIG 600 PRO HX, BLK, HDST,
WIRELESS, BT, MSX, CAN, AU, US</t>
  </si>
  <si>
    <t>Nacon (HK) Limited - #10-1509-99 RIG600PRO HX BLK -
XBox Chip Royalty</t>
  </si>
  <si>
    <t>Nacon (HK) Limited - RIG 600 PRO HX, URBAN, HDST,
WIRELESS, BT, MSX, AU, US</t>
  </si>
  <si>
    <t>Nacon (HK) Limited - #10-1613-01 RIG600PRO HX URBAN -
Xbox Chip Royalty</t>
  </si>
  <si>
    <t>Nacon (HK) Limited - 10-1509-99 RIG600PRO HX BLK -
XBox Chip Royalty</t>
  </si>
  <si>
    <t>N2501-017B</t>
  </si>
  <si>
    <t>Nacon (HK) Limited - #10-1509-99 RIG600PROHX - MDF</t>
  </si>
  <si>
    <t>Nacon (HK) Limited - #10-1509-99 RIG600PROHX - RMA</t>
  </si>
  <si>
    <t>Total 528 - Purchase Wireless Rig 600 - MSX</t>
  </si>
  <si>
    <t>532 - Purchase Corded Rig 500 - MSX (Licensed)</t>
  </si>
  <si>
    <t>532</t>
  </si>
  <si>
    <t>Purchase Corded Rig 500 - MSX (Licensed)</t>
  </si>
  <si>
    <t>Nacon (HK) Limited - #10-1152-01 RIG500PRO HX - DOLBY ROYALTY</t>
  </si>
  <si>
    <t>Nacon (HK) Limited - RIG500PRO HX, G2, BLK, HDST, MSX, ATMOS, AU, US</t>
  </si>
  <si>
    <t xml:space="preserve">Nacon (HK) Limited -  RIG500PRO HX, G2, BLK, HDST, MSX,
ATMOS, AU, US
</t>
  </si>
  <si>
    <t>Nacon (HK) Limited - RIG500PRO HX, G2, BLK, HDST, MSX,
ATMOS, AU, US</t>
  </si>
  <si>
    <t>N2411-011B</t>
  </si>
  <si>
    <t>Total 532 - Purchase Corded Rig 500 - MSX (Licensed)</t>
  </si>
  <si>
    <t>533 - Purchase Corded Rig 400 - MSX (Licensed)</t>
  </si>
  <si>
    <t>533</t>
  </si>
  <si>
    <t>Purchase Corded Rig 400 - MSX (Licensed)</t>
  </si>
  <si>
    <t>Nacon (HK) Limited - #10-1198-01 RIG 400HX BLK - Dolby Royalty</t>
  </si>
  <si>
    <t>Nacon (HK) Limited - #10-1198-01 RIG400HX BLK - MDF</t>
  </si>
  <si>
    <t>Nacon (HK) Limited - RIG 400 HX, BLK, HDST, ATMOS, MSX, AU, US</t>
  </si>
  <si>
    <t>Nacon (HK) Limited - RIG400 HX, BLK, HDST, ATMOS, MSX, AU, US</t>
  </si>
  <si>
    <t xml:space="preserve">Nacon (HK) Limited - 10-1198-01 RIG400HX BLK - Dolby
Royalty
</t>
  </si>
  <si>
    <t>N2409-003B</t>
  </si>
  <si>
    <t>Total 533 - Purchase Corded Rig 400 - MSX (Licensed)</t>
  </si>
  <si>
    <t>534 - Purchase Wireless Rig 900 - MSX (Licensed)</t>
  </si>
  <si>
    <t>534</t>
  </si>
  <si>
    <t>Purchase Wireless Rig 900 - MSX (Licensed)</t>
  </si>
  <si>
    <t>Nacon (HK) Limited - RIG 900 MAX HX, BLK, HDST, WIRELESS,MSX,ATMOS,AU,US</t>
  </si>
  <si>
    <t>Nacon (HK) Limited - #10-1647-01 RIG900MAX HX - DEV</t>
  </si>
  <si>
    <t>Nacon (HK) Limited - #10-1647-01 RIG900MAX HX - DOLBY</t>
  </si>
  <si>
    <t>Nacon (HK) Limited - #10-1647-01 RIG900MAX HX -XBOX CJIP ROYALTY</t>
  </si>
  <si>
    <t>Nacon (HK) Limited - #10-1647-01 RIG900MAX HX - MDF</t>
  </si>
  <si>
    <t>Total 534 - Purchase Wireless Rig 900 - MSX (Licensed)</t>
  </si>
  <si>
    <t>535 - Purchases - Other RIG Accessories (Non- Licensed)</t>
  </si>
  <si>
    <t>535</t>
  </si>
  <si>
    <t>Purchases - Other RIG Accessories (Non- Licensed)</t>
  </si>
  <si>
    <t>Nacon (HK) Limited - SPARE, MIC, AFTER AUG2019, BLK, RIG400 SERIES</t>
  </si>
  <si>
    <t>N2408-021</t>
  </si>
  <si>
    <t xml:space="preserve">Nacon (HK) Limited - SPARE, MIC, BLK/ GUNMETAL , RIG500 PRO, EX BLACK </t>
  </si>
  <si>
    <t>Nacon (HK) Limited - SPARE, AUDIO CABLE WITH GAME AUDIO DAIL, RIG500 PRO, HX, HS, HC, EX</t>
  </si>
  <si>
    <t>Nacon (HK) Limited - SPARE, MIC, BLK / COPPER , RIG500 PRO, PC, HX,HS,HA,HC</t>
  </si>
  <si>
    <t>Nacon (HK) Limited - SPARE, AUDIO CABLE WITH INLINE, RIG500 PRO, HA, PC</t>
  </si>
  <si>
    <t>Nacon (HK) Limited - SPARE, DUAL MATERIAL EAR CUSHIONS, PAIR, BLK, RIG500 PRO SERIES</t>
  </si>
  <si>
    <t>Nacon (HK) Limited - SPARE, DUAL MATERIAL EAR CUSHIONS, PAIR, BLK, RIG700,800PRO Series</t>
  </si>
  <si>
    <t>N2408-010</t>
  </si>
  <si>
    <t>Total 535 - Purchases - Other RIG Accessories (Non- Licensed)</t>
  </si>
  <si>
    <t>610 - Accounts Receivable</t>
  </si>
  <si>
    <t>610</t>
  </si>
  <si>
    <t>Current Asset</t>
  </si>
  <si>
    <t>Accounts Receivable</t>
  </si>
  <si>
    <t>Nacon Gaming Inc.</t>
  </si>
  <si>
    <t>Total 610 - Accounts Receivable</t>
  </si>
  <si>
    <t>620 - Prepayments</t>
  </si>
  <si>
    <t>620</t>
  </si>
  <si>
    <t>Prepayment</t>
  </si>
  <si>
    <t>Prepayments</t>
  </si>
  <si>
    <t>Total 620 - Prepayments</t>
  </si>
  <si>
    <t>710 - Office Equipment</t>
  </si>
  <si>
    <t>710</t>
  </si>
  <si>
    <t>Fixed Asset</t>
  </si>
  <si>
    <t>Office Equipment</t>
  </si>
  <si>
    <t>No transactions within this period</t>
  </si>
  <si>
    <t>Total 710 - Office Equipment</t>
  </si>
  <si>
    <t>711 - Less Accumulated Depreciation on Office Equipment</t>
  </si>
  <si>
    <t>711</t>
  </si>
  <si>
    <t>Less Accumulated Depreciation on Office Equipment</t>
  </si>
  <si>
    <t>Total 711 - Less Accumulated Depreciation on Office Equipment</t>
  </si>
  <si>
    <t>720 - Computer Equipment</t>
  </si>
  <si>
    <t>720</t>
  </si>
  <si>
    <t>Computer Equipment</t>
  </si>
  <si>
    <t>Total 720 - Computer Equipment</t>
  </si>
  <si>
    <t>721 - Less Accumulated Depreciation on Computer Equipment</t>
  </si>
  <si>
    <t>721</t>
  </si>
  <si>
    <t>Less Accumulated Depreciation on Computer Equipment</t>
  </si>
  <si>
    <t>Total 721 - Less Accumulated Depreciation on Computer Equipment</t>
  </si>
  <si>
    <t>800 - Accounts Payable</t>
  </si>
  <si>
    <t>800</t>
  </si>
  <si>
    <t>Current Liability</t>
  </si>
  <si>
    <t>Accounts Payable</t>
  </si>
  <si>
    <t>Novated Lease Australia</t>
  </si>
  <si>
    <t>ALTUS BUSINESS ADVISERS PTY LTD</t>
  </si>
  <si>
    <t>Nacon (HK) Limited</t>
  </si>
  <si>
    <t>AUSTRALIAN SECURITIES &amp; INVESTMENTS COMMISSION</t>
  </si>
  <si>
    <t>Adobe Systems Software Ireland LTD</t>
  </si>
  <si>
    <t>INSURANCE ADVISERNET AUSTRALIA PTY LT</t>
  </si>
  <si>
    <t>Adobe Systems Software Ireland Ltd.</t>
  </si>
  <si>
    <t>Total 800 - Accounts Payable</t>
  </si>
  <si>
    <t>802 - Sundry Creditors</t>
  </si>
  <si>
    <t>802</t>
  </si>
  <si>
    <t>Sundry Creditors</t>
  </si>
  <si>
    <t>Total 802 - Sundry Creditors</t>
  </si>
  <si>
    <t>803 - Accrued Expenses</t>
  </si>
  <si>
    <t>803</t>
  </si>
  <si>
    <t>Accrued Expenses</t>
  </si>
  <si>
    <t>Total 803 - Accrued Expenses</t>
  </si>
  <si>
    <t>804 - Wages Payable</t>
  </si>
  <si>
    <t>804</t>
  </si>
  <si>
    <t>Wages Payable</t>
  </si>
  <si>
    <t>Therisa Reddy - Payment of AUD 10828.07</t>
  </si>
  <si>
    <t>Nicholas Alexander Mirkov - Payment of AUD 4068;</t>
  </si>
  <si>
    <t>Brandon Marlow - Payment of AUD 4700 , Brandon Marlow</t>
  </si>
  <si>
    <t xml:space="preserve">Brandon Marlow - Payment of AUD 4930; </t>
  </si>
  <si>
    <t xml:space="preserve">Therisa Reddy - Payment of AUD 10895.61; </t>
  </si>
  <si>
    <t xml:space="preserve">Nicholas Alexander Mirkov - Payment of AUD 4217; </t>
  </si>
  <si>
    <t>Total 804 - Wages Payable</t>
  </si>
  <si>
    <t>806 - Salary Sacrifice Amounts Payable / Withheld</t>
  </si>
  <si>
    <t>806</t>
  </si>
  <si>
    <t>Salary Sacrifice Amounts Payable / Withheld</t>
  </si>
  <si>
    <t>Novated Lease Australia - PEUGEOT 3008 GT SPORT 1.6L THP AWD PHEV - Tess Redy</t>
  </si>
  <si>
    <t>Deductions</t>
  </si>
  <si>
    <t>Total 806 - Salary Sacrifice Amounts Payable / Withheld</t>
  </si>
  <si>
    <t>809 - Trade and Other Payable (FX Adjustment)</t>
  </si>
  <si>
    <t>809</t>
  </si>
  <si>
    <t>Trade and Other Payable (FX Adjustment)</t>
  </si>
  <si>
    <t>Total 809 - Trade and Other Payable (FX Adjustment)</t>
  </si>
  <si>
    <t>820 - GST</t>
  </si>
  <si>
    <t>820</t>
  </si>
  <si>
    <t>ATO - BAS - GST</t>
  </si>
  <si>
    <t>Altus 02 : To reallocate GST transaction form PAYGW</t>
  </si>
  <si>
    <t>#3717</t>
  </si>
  <si>
    <t xml:space="preserve">AUSTRALIAN TAXATION OFFICE - Payment of AUD 7168; </t>
  </si>
  <si>
    <t>Total 820 - GST</t>
  </si>
  <si>
    <t>825 - PAYG Withholdings Payable</t>
  </si>
  <si>
    <t>825</t>
  </si>
  <si>
    <t>PAYG Withholdings Payable</t>
  </si>
  <si>
    <t>Tax</t>
  </si>
  <si>
    <t>ATO - BAS - PAYG W</t>
  </si>
  <si>
    <t>ATO - BAS - Payment of AUD 7986</t>
  </si>
  <si>
    <t xml:space="preserve">ATO - BAS - Payment of AUD 6807; </t>
  </si>
  <si>
    <t>AUSTRALIAN TAXATION OFFICE - Payment of AUD 10093.96; June Qtr Super</t>
  </si>
  <si>
    <t>Total 825 - PAYG Withholdings Payable</t>
  </si>
  <si>
    <t>826 - Superannuation Payable</t>
  </si>
  <si>
    <t>826</t>
  </si>
  <si>
    <t>Superannuation Payable</t>
  </si>
  <si>
    <t>Superannuation Liability</t>
  </si>
  <si>
    <t>Total 826 - Superannuation Payable</t>
  </si>
  <si>
    <t>830 - Provision for Income Tax</t>
  </si>
  <si>
    <t>830</t>
  </si>
  <si>
    <t>Provision for Income Tax</t>
  </si>
  <si>
    <t>Total 830 - Provision for Income Tax</t>
  </si>
  <si>
    <t>836 - Prior Years Under/Overs Provision for Income Tax</t>
  </si>
  <si>
    <t>836</t>
  </si>
  <si>
    <t>Prior Years Under/Overs Provision for Income Tax</t>
  </si>
  <si>
    <t>Unknown - ATO</t>
  </si>
  <si>
    <t>Total 836 - Prior Years Under/Overs Provision for Income Tax</t>
  </si>
  <si>
    <t>837 - Provision for Annual Leave</t>
  </si>
  <si>
    <t>837</t>
  </si>
  <si>
    <t>Provision for Annual Leave</t>
  </si>
  <si>
    <t>Total 837 - Provision for Annual Leave</t>
  </si>
  <si>
    <t>838 - Provision for Long Service Leave</t>
  </si>
  <si>
    <t>838</t>
  </si>
  <si>
    <t>Provision for Long Service Leave</t>
  </si>
  <si>
    <t>Total 838 - Provision for Long Service Leave</t>
  </si>
  <si>
    <t>855 - Payroll Tax Payable</t>
  </si>
  <si>
    <t>855</t>
  </si>
  <si>
    <t>Payroll Tax Payable</t>
  </si>
  <si>
    <t>Total 855 - Payroll Tax Payable</t>
  </si>
  <si>
    <t>860 - Rounding</t>
  </si>
  <si>
    <t>860</t>
  </si>
  <si>
    <t>Rounding</t>
  </si>
  <si>
    <t>Total 860 - Rounding</t>
  </si>
  <si>
    <t>960 - Retained Earnings</t>
  </si>
  <si>
    <t>960</t>
  </si>
  <si>
    <t>Equity</t>
  </si>
  <si>
    <t>Retained Earnings</t>
  </si>
  <si>
    <t>Total 960 - Retained Earnings</t>
  </si>
  <si>
    <t>961 - $10 Fully Paid Ordinary Shares</t>
  </si>
  <si>
    <t>961</t>
  </si>
  <si>
    <t>$10 Fully Paid Ordinary Shares</t>
  </si>
  <si>
    <t>Total 961 - $10 Fully Paid Ordinary Shares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</si>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</sst>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(#,##0.00)"/>
    <numFmt numFmtId="165" formatCode="dd mmm yyyy"/>
    <numFmt numFmtId="166" formatCode="0.00##\%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0" xfId="0" applyFont="true" applyBorder="true" applyAlignment="true">
      <alignment vertical="center"/>
    </xf>
    <xf numFmtId="0" fontId="0" fillId="0" borderId="0" xfId="0" applyFont="true"/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165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166" fontId="0" fillId="0" borderId="0" xfId="0" applyNumberFormat="true" applyFont="true" applyAlignment="true">
      <alignment horizontal="right" vertical="center"/>
    </xf>
    <xf numFmtId="165" fontId="0" fillId="0" borderId="3" xfId="0" applyNumberFormat="true" applyFont="true" applyBorder="true" applyAlignment="true">
      <alignment horizontal="left" vertical="center"/>
    </xf>
    <xf numFmtId="0" fontId="0" fillId="0" borderId="3" xfId="0" applyFont="true" applyBorder="true" applyAlignment="true">
      <alignment vertical="center"/>
    </xf>
    <xf numFmtId="164" fontId="0" fillId="0" borderId="3" xfId="0" applyNumberFormat="true" applyFont="true" applyBorder="true" applyAlignment="true">
      <alignment horizontal="right" vertical="center"/>
    </xf>
    <xf numFmtId="166" fontId="0" fillId="0" borderId="3" xfId="0" applyNumberFormat="true" applyFont="true" applyBorder="true" applyAlignment="true">
      <alignment horizontal="right" vertical="center"/>
    </xf>
    <xf numFmtId="0" fontId="6" fillId="0" borderId="3" xfId="0" applyFont="true" applyBorder="true" applyAlignment="true">
      <alignment vertical="center"/>
    </xf>
    <xf numFmtId="164" fontId="6" fillId="0" borderId="3" xfId="0" applyNumberFormat="true" applyFont="true" applyBorder="true" applyAlignment="true">
      <alignment horizontal="right" vertical="center"/>
    </xf>
    <xf numFmtId="0" fontId="0" fillId="0" borderId="0" xfId="0" applyFont="true" applyAlignment="true">
      <alignment vertical="center" wrapText="true"/>
    </xf>
    <xf numFmtId="0" fontId="0" fillId="0" borderId="3" xfId="0" applyFont="true" applyBorder="true" applyAlignment="true">
      <alignment vertical="center" wrapText="true"/>
    </xf>
    <xf numFmtId="0" fontId="6" fillId="2" borderId="2" xfId="0" applyFont="true" applyFill="true" applyBorder="true" applyAlignment="true">
      <alignment vertical="center"/>
    </xf>
    <xf numFmtId="164" fontId="6" fillId="2" borderId="2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M1648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67" customWidth="1"/>
    <col min="2" max="2" width="16" customWidth="1"/>
    <col min="3" max="3" width="16.16015625" customWidth="1"/>
    <col min="4" max="4" width="51.83203125" customWidth="1"/>
    <col min="5" max="5" width="31.66015625" customWidth="1"/>
    <col min="6" max="6" width="100" customWidth="1"/>
    <col min="7" max="7" width="40.83203125" customWidth="1"/>
    <col min="8" max="9" width="12.83203125" customWidth="1"/>
    <col min="10" max="10" width="19.33203125" customWidth="1"/>
    <col min="11" max="11" width="7.33203125" customWidth="1"/>
    <col min="12" max="12" width="11.66015625" customWidth="1"/>
    <col min="13" max="13" width="18.660156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6" t="s">
        <v>15</v>
      </c>
    </row>
    <row r="6" ht="13.35" customHeight="true"/>
    <row r="7" ht="12.1" customHeight="true" customFormat="true" s="5">
      <c r="A7" s="8" t="s">
        <v>16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ht="10.95" customHeight="true" customFormat="true" s="9">
      <c r="A8" s="10" t="s">
        <v>17</v>
      </c>
      <c r="B8" s="10"/>
      <c r="C8" s="10"/>
      <c r="D8" s="10"/>
      <c r="E8" s="10"/>
      <c r="F8" s="10"/>
      <c r="G8" s="10"/>
      <c r="H8" s="11">
        <v>0</v>
      </c>
      <c r="I8" s="11">
        <v>0</v>
      </c>
      <c r="J8" s="11">
        <f ca="1">(H8 - I8)</f>
        <v>0</v>
      </c>
      <c r="K8" s="11">
        <v>0</v>
      </c>
      <c r="L8" s="10"/>
      <c r="M8" s="10"/>
    </row>
    <row r="9" ht="10.95" customHeight="true" customFormat="true" s="9">
      <c r="A9" s="12">
        <v>45429</v>
      </c>
      <c r="B9" s="13"/>
      <c r="C9" s="13" t="s">
        <v>18</v>
      </c>
      <c r="D9" s="13" t="s">
        <v>19</v>
      </c>
      <c r="E9" s="13" t="s">
        <v>20</v>
      </c>
      <c r="F9" s="13" t="s">
        <v>21</v>
      </c>
      <c r="G9" s="13"/>
      <c r="H9" s="14">
        <v>37527.5100</v>
      </c>
      <c r="I9" s="14">
        <v>0</v>
      </c>
      <c r="J9" s="14">
        <f ca="1">((J8 + H9) - I9)</f>
        <v>0</v>
      </c>
      <c r="K9" s="14">
        <v>0</v>
      </c>
      <c r="L9" s="15">
        <v>0</v>
      </c>
      <c r="M9" s="13"/>
    </row>
    <row r="10" ht="10.95" customHeight="true" customFormat="true" s="9">
      <c r="A10" s="16">
        <v>45448</v>
      </c>
      <c r="B10" s="17"/>
      <c r="C10" s="17" t="s">
        <v>18</v>
      </c>
      <c r="D10" s="17" t="s">
        <v>19</v>
      </c>
      <c r="E10" s="17" t="s">
        <v>20</v>
      </c>
      <c r="F10" s="17" t="s">
        <v>22</v>
      </c>
      <c r="G10" s="17"/>
      <c r="H10" s="18">
        <v>0</v>
      </c>
      <c r="I10" s="18">
        <v>37517.3100</v>
      </c>
      <c r="J10" s="18">
        <f ca="1">((J9 + H10) - I10)</f>
        <v>0</v>
      </c>
      <c r="K10" s="18">
        <v>0</v>
      </c>
      <c r="L10" s="19">
        <v>0</v>
      </c>
      <c r="M10" s="17"/>
    </row>
    <row r="11" ht="10.95" customHeight="true" customFormat="true" s="9">
      <c r="A11" s="16">
        <v>45467</v>
      </c>
      <c r="B11" s="17"/>
      <c r="C11" s="17" t="s">
        <v>18</v>
      </c>
      <c r="D11" s="17" t="s">
        <v>19</v>
      </c>
      <c r="E11" s="17" t="s">
        <v>20</v>
      </c>
      <c r="F11" s="17" t="s">
        <v>21</v>
      </c>
      <c r="G11" s="17"/>
      <c r="H11" s="18">
        <v>22570.8200</v>
      </c>
      <c r="I11" s="18">
        <v>0</v>
      </c>
      <c r="J11" s="18">
        <f ca="1">((J10 + H11) - I11)</f>
        <v>0</v>
      </c>
      <c r="K11" s="18">
        <v>0</v>
      </c>
      <c r="L11" s="19">
        <v>0</v>
      </c>
      <c r="M11" s="17"/>
    </row>
    <row r="12" ht="10.95" customHeight="true" customFormat="true" s="9">
      <c r="A12" s="16">
        <v>45467</v>
      </c>
      <c r="B12" s="17"/>
      <c r="C12" s="17" t="s">
        <v>18</v>
      </c>
      <c r="D12" s="17" t="s">
        <v>19</v>
      </c>
      <c r="E12" s="17" t="s">
        <v>20</v>
      </c>
      <c r="F12" s="17" t="s">
        <v>22</v>
      </c>
      <c r="G12" s="17"/>
      <c r="H12" s="18">
        <v>0</v>
      </c>
      <c r="I12" s="18">
        <v>22487.6400</v>
      </c>
      <c r="J12" s="18">
        <f ca="1">((J11 + H12) - I12)</f>
        <v>0</v>
      </c>
      <c r="K12" s="18">
        <v>0</v>
      </c>
      <c r="L12" s="19">
        <v>0</v>
      </c>
      <c r="M12" s="17"/>
    </row>
    <row r="13" ht="10.95" customHeight="true" customFormat="true" s="9">
      <c r="A13" s="16">
        <v>45498</v>
      </c>
      <c r="B13" s="17"/>
      <c r="C13" s="17" t="s">
        <v>18</v>
      </c>
      <c r="D13" s="17" t="s">
        <v>19</v>
      </c>
      <c r="E13" s="17" t="s">
        <v>20</v>
      </c>
      <c r="F13" s="17" t="s">
        <v>21</v>
      </c>
      <c r="G13" s="17"/>
      <c r="H13" s="18">
        <v>30605.9800</v>
      </c>
      <c r="I13" s="18">
        <v>0</v>
      </c>
      <c r="J13" s="18">
        <f ca="1">((J12 + H13) - I13)</f>
        <v>0</v>
      </c>
      <c r="K13" s="18">
        <v>0</v>
      </c>
      <c r="L13" s="19">
        <v>0</v>
      </c>
      <c r="M13" s="17"/>
    </row>
    <row r="14" ht="10.95" customHeight="true" customFormat="true" s="9">
      <c r="A14" s="16">
        <v>45502</v>
      </c>
      <c r="B14" s="17"/>
      <c r="C14" s="17" t="s">
        <v>18</v>
      </c>
      <c r="D14" s="17" t="s">
        <v>19</v>
      </c>
      <c r="E14" s="17" t="s">
        <v>20</v>
      </c>
      <c r="F14" s="17" t="s">
        <v>22</v>
      </c>
      <c r="G14" s="17"/>
      <c r="H14" s="18">
        <v>0</v>
      </c>
      <c r="I14" s="18">
        <v>30387.8900</v>
      </c>
      <c r="J14" s="18">
        <f ca="1">((J13 + H14) - I14)</f>
        <v>0</v>
      </c>
      <c r="K14" s="18">
        <v>0</v>
      </c>
      <c r="L14" s="19">
        <v>0</v>
      </c>
      <c r="M14" s="17"/>
    </row>
    <row r="15" ht="10.95" customHeight="true" customFormat="true" s="9">
      <c r="A15" s="16">
        <v>45558</v>
      </c>
      <c r="B15" s="17"/>
      <c r="C15" s="17" t="s">
        <v>18</v>
      </c>
      <c r="D15" s="17" t="s">
        <v>19</v>
      </c>
      <c r="E15" s="17" t="s">
        <v>20</v>
      </c>
      <c r="F15" s="17" t="s">
        <v>21</v>
      </c>
      <c r="G15" s="17"/>
      <c r="H15" s="18">
        <v>29247.4200</v>
      </c>
      <c r="I15" s="18">
        <v>0</v>
      </c>
      <c r="J15" s="18">
        <f ca="1">((J14 + H15) - I15)</f>
        <v>0</v>
      </c>
      <c r="K15" s="18">
        <v>0</v>
      </c>
      <c r="L15" s="19">
        <v>0</v>
      </c>
      <c r="M15" s="17"/>
    </row>
    <row r="16" ht="10.95" customHeight="true" customFormat="true" s="9">
      <c r="A16" s="16">
        <v>45559</v>
      </c>
      <c r="B16" s="17"/>
      <c r="C16" s="17" t="s">
        <v>18</v>
      </c>
      <c r="D16" s="17" t="s">
        <v>19</v>
      </c>
      <c r="E16" s="17" t="s">
        <v>20</v>
      </c>
      <c r="F16" s="17" t="s">
        <v>22</v>
      </c>
      <c r="G16" s="17"/>
      <c r="H16" s="18">
        <v>0</v>
      </c>
      <c r="I16" s="18">
        <v>29217.2100</v>
      </c>
      <c r="J16" s="18">
        <f ca="1">((J15 + H16) - I16)</f>
        <v>0</v>
      </c>
      <c r="K16" s="18">
        <v>0</v>
      </c>
      <c r="L16" s="19">
        <v>0</v>
      </c>
      <c r="M16" s="17"/>
    </row>
    <row r="17" ht="10.95" customHeight="true" customFormat="true" s="9">
      <c r="A17" s="16">
        <v>45587</v>
      </c>
      <c r="B17" s="17"/>
      <c r="C17" s="17" t="s">
        <v>18</v>
      </c>
      <c r="D17" s="17" t="s">
        <v>19</v>
      </c>
      <c r="E17" s="17" t="s">
        <v>20</v>
      </c>
      <c r="F17" s="17" t="s">
        <v>21</v>
      </c>
      <c r="G17" s="17"/>
      <c r="H17" s="18">
        <v>82286.5500</v>
      </c>
      <c r="I17" s="18">
        <v>0</v>
      </c>
      <c r="J17" s="18">
        <f ca="1">((J16 + H17) - I17)</f>
        <v>0</v>
      </c>
      <c r="K17" s="18">
        <v>0</v>
      </c>
      <c r="L17" s="19">
        <v>0</v>
      </c>
      <c r="M17" s="17"/>
    </row>
    <row r="18" ht="10.95" customHeight="true" customFormat="true" s="9">
      <c r="A18" s="16">
        <v>45594</v>
      </c>
      <c r="B18" s="17"/>
      <c r="C18" s="17" t="s">
        <v>18</v>
      </c>
      <c r="D18" s="17" t="s">
        <v>19</v>
      </c>
      <c r="E18" s="17" t="s">
        <v>20</v>
      </c>
      <c r="F18" s="17" t="s">
        <v>22</v>
      </c>
      <c r="G18" s="17"/>
      <c r="H18" s="18">
        <v>0</v>
      </c>
      <c r="I18" s="18">
        <v>83368.0700</v>
      </c>
      <c r="J18" s="18">
        <f ca="1">((J17 + H18) - I18)</f>
        <v>0</v>
      </c>
      <c r="K18" s="18">
        <v>0</v>
      </c>
      <c r="L18" s="19">
        <v>0</v>
      </c>
      <c r="M18" s="17"/>
    </row>
    <row r="19" ht="10.95" customHeight="true" customFormat="true" s="9">
      <c r="A19" s="16">
        <v>45616</v>
      </c>
      <c r="B19" s="17"/>
      <c r="C19" s="17" t="s">
        <v>18</v>
      </c>
      <c r="D19" s="17" t="s">
        <v>19</v>
      </c>
      <c r="E19" s="17" t="s">
        <v>20</v>
      </c>
      <c r="F19" s="17" t="s">
        <v>21</v>
      </c>
      <c r="G19" s="17"/>
      <c r="H19" s="18">
        <v>38448.5300</v>
      </c>
      <c r="I19" s="18">
        <v>0</v>
      </c>
      <c r="J19" s="18">
        <f ca="1">((J18 + H19) - I19)</f>
        <v>0</v>
      </c>
      <c r="K19" s="18">
        <v>0</v>
      </c>
      <c r="L19" s="19">
        <v>0</v>
      </c>
      <c r="M19" s="17"/>
    </row>
    <row r="20" ht="10.95" customHeight="true" customFormat="true" s="9">
      <c r="A20" s="16">
        <v>45616</v>
      </c>
      <c r="B20" s="17"/>
      <c r="C20" s="17" t="s">
        <v>18</v>
      </c>
      <c r="D20" s="17" t="s">
        <v>19</v>
      </c>
      <c r="E20" s="17" t="s">
        <v>20</v>
      </c>
      <c r="F20" s="17" t="s">
        <v>22</v>
      </c>
      <c r="G20" s="17"/>
      <c r="H20" s="18">
        <v>0</v>
      </c>
      <c r="I20" s="18">
        <v>38345.3800</v>
      </c>
      <c r="J20" s="18">
        <f ca="1">((J19 + H20) - I20)</f>
        <v>0</v>
      </c>
      <c r="K20" s="18">
        <v>0</v>
      </c>
      <c r="L20" s="19">
        <v>0</v>
      </c>
      <c r="M20" s="17"/>
    </row>
    <row r="21" ht="10.95" customHeight="true" customFormat="true" s="9">
      <c r="A21" s="16">
        <v>45643</v>
      </c>
      <c r="B21" s="17"/>
      <c r="C21" s="17" t="s">
        <v>18</v>
      </c>
      <c r="D21" s="17" t="s">
        <v>19</v>
      </c>
      <c r="E21" s="17" t="s">
        <v>20</v>
      </c>
      <c r="F21" s="17" t="s">
        <v>21</v>
      </c>
      <c r="G21" s="17"/>
      <c r="H21" s="18">
        <v>39408.2500</v>
      </c>
      <c r="I21" s="18">
        <v>0</v>
      </c>
      <c r="J21" s="18">
        <f ca="1">((J20 + H21) - I21)</f>
        <v>0</v>
      </c>
      <c r="K21" s="18">
        <v>0</v>
      </c>
      <c r="L21" s="19">
        <v>0</v>
      </c>
      <c r="M21" s="17"/>
    </row>
    <row r="22" ht="10.95" customHeight="true" customFormat="true" s="9">
      <c r="A22" s="16">
        <v>45644</v>
      </c>
      <c r="B22" s="17"/>
      <c r="C22" s="17" t="s">
        <v>18</v>
      </c>
      <c r="D22" s="17" t="s">
        <v>19</v>
      </c>
      <c r="E22" s="17" t="s">
        <v>20</v>
      </c>
      <c r="F22" s="17" t="s">
        <v>22</v>
      </c>
      <c r="G22" s="17"/>
      <c r="H22" s="18">
        <v>0</v>
      </c>
      <c r="I22" s="18">
        <v>39517.8800</v>
      </c>
      <c r="J22" s="18">
        <f ca="1">((J21 + H22) - I22)</f>
        <v>0</v>
      </c>
      <c r="K22" s="18">
        <v>0</v>
      </c>
      <c r="L22" s="19">
        <v>0</v>
      </c>
      <c r="M22" s="17"/>
    </row>
    <row r="23" ht="10.95" customHeight="true" customFormat="true" s="9">
      <c r="A23" s="16">
        <v>45677</v>
      </c>
      <c r="B23" s="17"/>
      <c r="C23" s="17" t="s">
        <v>18</v>
      </c>
      <c r="D23" s="17" t="s">
        <v>19</v>
      </c>
      <c r="E23" s="17" t="s">
        <v>20</v>
      </c>
      <c r="F23" s="17" t="s">
        <v>21</v>
      </c>
      <c r="G23" s="17"/>
      <c r="H23" s="18">
        <v>32232.5900</v>
      </c>
      <c r="I23" s="18">
        <v>0</v>
      </c>
      <c r="J23" s="18">
        <f ca="1">((J22 + H23) - I23)</f>
        <v>0</v>
      </c>
      <c r="K23" s="18">
        <v>0</v>
      </c>
      <c r="L23" s="19">
        <v>0</v>
      </c>
      <c r="M23" s="17"/>
    </row>
    <row r="24" ht="10.95" customHeight="true" customFormat="true" s="9">
      <c r="A24" s="16">
        <v>45680</v>
      </c>
      <c r="B24" s="17"/>
      <c r="C24" s="17" t="s">
        <v>18</v>
      </c>
      <c r="D24" s="17" t="s">
        <v>19</v>
      </c>
      <c r="E24" s="17" t="s">
        <v>20</v>
      </c>
      <c r="F24" s="17" t="s">
        <v>22</v>
      </c>
      <c r="G24" s="17"/>
      <c r="H24" s="18">
        <v>0</v>
      </c>
      <c r="I24" s="18">
        <v>31767.7600</v>
      </c>
      <c r="J24" s="18">
        <f ca="1">((J23 + H24) - I24)</f>
        <v>0</v>
      </c>
      <c r="K24" s="18">
        <v>0</v>
      </c>
      <c r="L24" s="19">
        <v>0</v>
      </c>
      <c r="M24" s="17"/>
    </row>
    <row r="25" ht="10.95" customHeight="true" customFormat="true" s="9">
      <c r="A25" s="16">
        <v>45737</v>
      </c>
      <c r="B25" s="17"/>
      <c r="C25" s="17" t="s">
        <v>18</v>
      </c>
      <c r="D25" s="17" t="s">
        <v>19</v>
      </c>
      <c r="E25" s="17" t="s">
        <v>20</v>
      </c>
      <c r="F25" s="17" t="s">
        <v>21</v>
      </c>
      <c r="G25" s="17"/>
      <c r="H25" s="18">
        <v>63561.5800</v>
      </c>
      <c r="I25" s="18">
        <v>0</v>
      </c>
      <c r="J25" s="18">
        <f ca="1">((J24 + H25) - I25)</f>
        <v>0</v>
      </c>
      <c r="K25" s="18">
        <v>0</v>
      </c>
      <c r="L25" s="19">
        <v>0</v>
      </c>
      <c r="M25" s="17"/>
    </row>
    <row r="26" ht="10.95" customHeight="true" customFormat="true" s="9">
      <c r="A26" s="16">
        <v>45740</v>
      </c>
      <c r="B26" s="17"/>
      <c r="C26" s="17" t="s">
        <v>18</v>
      </c>
      <c r="D26" s="17" t="s">
        <v>19</v>
      </c>
      <c r="E26" s="17" t="s">
        <v>20</v>
      </c>
      <c r="F26" s="17" t="s">
        <v>22</v>
      </c>
      <c r="G26" s="17"/>
      <c r="H26" s="18">
        <v>0</v>
      </c>
      <c r="I26" s="18">
        <v>63463.2500</v>
      </c>
      <c r="J26" s="18">
        <f ca="1">((J25 + H26) - I26)</f>
        <v>0</v>
      </c>
      <c r="K26" s="18">
        <v>0</v>
      </c>
      <c r="L26" s="19">
        <v>0</v>
      </c>
      <c r="M26" s="17"/>
    </row>
    <row r="27" ht="10.95" customHeight="true" customFormat="true" s="9">
      <c r="A27" s="16">
        <v>45747</v>
      </c>
      <c r="B27" s="17"/>
      <c r="C27" s="17" t="s">
        <v>18</v>
      </c>
      <c r="D27" s="17" t="s">
        <v>19</v>
      </c>
      <c r="E27" s="17"/>
      <c r="F27" s="17" t="s">
        <v>23</v>
      </c>
      <c r="G27" s="17"/>
      <c r="H27" s="18">
        <v>183.1600</v>
      </c>
      <c r="I27" s="18">
        <v>0</v>
      </c>
      <c r="J27" s="18">
        <f ca="1">((J26 + H27) - I27)</f>
        <v>0</v>
      </c>
      <c r="K27" s="18">
        <v>0</v>
      </c>
      <c r="L27" s="19">
        <v>0</v>
      </c>
      <c r="M27" s="17"/>
    </row>
    <row r="28" ht="10.95" customHeight="true" customFormat="true" s="9">
      <c r="A28" s="20" t="s">
        <v>24</v>
      </c>
      <c r="B28" s="20"/>
      <c r="C28" s="20"/>
      <c r="D28" s="20"/>
      <c r="E28" s="20"/>
      <c r="F28" s="20"/>
      <c r="G28" s="20"/>
      <c r="H28" s="21">
        <f ca="1">SUM(H9:H27)</f>
        <v>0</v>
      </c>
      <c r="I28" s="21">
        <f ca="1">SUM(I9:I27)</f>
        <v>0</v>
      </c>
      <c r="J28" s="21">
        <f ca="1">J27</f>
        <v>0</v>
      </c>
      <c r="K28" s="21">
        <f ca="1">SUM(K9:K27)</f>
        <v>0</v>
      </c>
      <c r="L28" s="20"/>
      <c r="M28" s="20"/>
    </row>
    <row r="29" ht="10.95" customHeight="true" customFormat="true" s="9">
      <c r="A29" s="20" t="s">
        <v>25</v>
      </c>
      <c r="B29" s="20"/>
      <c r="C29" s="20"/>
      <c r="D29" s="20"/>
      <c r="E29" s="20"/>
      <c r="F29" s="20"/>
      <c r="G29" s="20"/>
      <c r="H29" s="21">
        <v>0</v>
      </c>
      <c r="I29" s="21">
        <v>0</v>
      </c>
      <c r="J29" s="21">
        <v>0</v>
      </c>
      <c r="K29" s="21">
        <v>0</v>
      </c>
      <c r="L29" s="20"/>
      <c r="M29" s="20"/>
    </row>
    <row r="30" ht="10.95" customHeight="true" customFormat="true" s="9">
      <c r="A30" s="10" t="s">
        <v>26</v>
      </c>
      <c r="B30" s="10"/>
      <c r="C30" s="10"/>
      <c r="D30" s="10"/>
      <c r="E30" s="10"/>
      <c r="F30" s="10"/>
      <c r="G30" s="10"/>
      <c r="H30" s="11">
        <v>0</v>
      </c>
      <c r="I30" s="11">
        <v>0</v>
      </c>
      <c r="J30" s="11">
        <f ca="1">J27</f>
        <v>0</v>
      </c>
      <c r="K30" s="11">
        <v>0</v>
      </c>
      <c r="L30" s="10"/>
      <c r="M30" s="10"/>
    </row>
    <row r="31" ht="13.35" customHeight="true"/>
    <row r="32" ht="12.1" customHeight="true" customFormat="true" s="5">
      <c r="A32" s="8" t="s">
        <v>27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ht="10.95" customHeight="true" customFormat="true" s="9">
      <c r="A33" s="10" t="s">
        <v>17</v>
      </c>
      <c r="B33" s="10"/>
      <c r="C33" s="10"/>
      <c r="D33" s="10"/>
      <c r="E33" s="10"/>
      <c r="F33" s="10"/>
      <c r="G33" s="10"/>
      <c r="H33" s="11">
        <v>47339.8800</v>
      </c>
      <c r="I33" s="11">
        <v>0</v>
      </c>
      <c r="J33" s="11">
        <f ca="1">(H33 - I33)</f>
        <v>0</v>
      </c>
      <c r="K33" s="11">
        <v>0</v>
      </c>
      <c r="L33" s="10"/>
      <c r="M33" s="10"/>
    </row>
    <row r="34" ht="10.95" customHeight="true" customFormat="true" s="9">
      <c r="A34" s="12">
        <v>45399</v>
      </c>
      <c r="B34" s="13"/>
      <c r="C34" s="13" t="s">
        <v>18</v>
      </c>
      <c r="D34" s="13" t="s">
        <v>28</v>
      </c>
      <c r="E34" s="13" t="s">
        <v>29</v>
      </c>
      <c r="F34" s="13" t="s">
        <v>30</v>
      </c>
      <c r="G34" s="13"/>
      <c r="H34" s="14">
        <v>0</v>
      </c>
      <c r="I34" s="14">
        <v>13646.3600</v>
      </c>
      <c r="J34" s="14">
        <f ca="1">((J33 + H34) - I34)</f>
        <v>0</v>
      </c>
      <c r="K34" s="14">
        <v>0</v>
      </c>
      <c r="L34" s="15">
        <v>0</v>
      </c>
      <c r="M34" s="13"/>
    </row>
    <row r="35" ht="10.95" customHeight="true" customFormat="true" s="9">
      <c r="A35" s="16">
        <v>45399</v>
      </c>
      <c r="B35" s="17"/>
      <c r="C35" s="17" t="s">
        <v>18</v>
      </c>
      <c r="D35" s="17" t="s">
        <v>28</v>
      </c>
      <c r="E35" s="17" t="s">
        <v>29</v>
      </c>
      <c r="F35" s="17" t="s">
        <v>31</v>
      </c>
      <c r="G35" s="17"/>
      <c r="H35" s="18">
        <v>0</v>
      </c>
      <c r="I35" s="18">
        <v>2603.9800</v>
      </c>
      <c r="J35" s="18">
        <f ca="1">((J34 + H35) - I35)</f>
        <v>0</v>
      </c>
      <c r="K35" s="18">
        <v>0</v>
      </c>
      <c r="L35" s="19">
        <v>0</v>
      </c>
      <c r="M35" s="17"/>
    </row>
    <row r="36" ht="10.95" customHeight="true" customFormat="true" s="9">
      <c r="A36" s="16">
        <v>45409</v>
      </c>
      <c r="B36" s="17"/>
      <c r="C36" s="17" t="s">
        <v>18</v>
      </c>
      <c r="D36" s="17" t="s">
        <v>28</v>
      </c>
      <c r="E36" s="17" t="s">
        <v>29</v>
      </c>
      <c r="F36" s="17" t="s">
        <v>32</v>
      </c>
      <c r="G36" s="17"/>
      <c r="H36" s="18">
        <v>0</v>
      </c>
      <c r="I36" s="18">
        <v>10561.6000</v>
      </c>
      <c r="J36" s="18">
        <f ca="1">((J35 + H36) - I36)</f>
        <v>0</v>
      </c>
      <c r="K36" s="18">
        <v>0</v>
      </c>
      <c r="L36" s="19">
        <v>0</v>
      </c>
      <c r="M36" s="17"/>
    </row>
    <row r="37" ht="10.95" customHeight="true" customFormat="true" s="9">
      <c r="A37" s="16">
        <v>45409</v>
      </c>
      <c r="B37" s="17"/>
      <c r="C37" s="17" t="s">
        <v>18</v>
      </c>
      <c r="D37" s="17" t="s">
        <v>28</v>
      </c>
      <c r="E37" s="17" t="s">
        <v>29</v>
      </c>
      <c r="F37" s="17" t="s">
        <v>33</v>
      </c>
      <c r="G37" s="17"/>
      <c r="H37" s="18">
        <v>0</v>
      </c>
      <c r="I37" s="18">
        <v>4117.0000</v>
      </c>
      <c r="J37" s="18">
        <f ca="1">((J36 + H37) - I37)</f>
        <v>0</v>
      </c>
      <c r="K37" s="18">
        <v>0</v>
      </c>
      <c r="L37" s="19">
        <v>0</v>
      </c>
      <c r="M37" s="17"/>
    </row>
    <row r="38" ht="10.95" customHeight="true" customFormat="true" s="9">
      <c r="A38" s="16">
        <v>45409</v>
      </c>
      <c r="B38" s="17"/>
      <c r="C38" s="17" t="s">
        <v>18</v>
      </c>
      <c r="D38" s="17" t="s">
        <v>28</v>
      </c>
      <c r="E38" s="17" t="s">
        <v>29</v>
      </c>
      <c r="F38" s="17" t="s">
        <v>34</v>
      </c>
      <c r="G38" s="17"/>
      <c r="H38" s="18">
        <v>0</v>
      </c>
      <c r="I38" s="18">
        <v>4761.0000</v>
      </c>
      <c r="J38" s="18">
        <f ca="1">((J37 + H38) - I38)</f>
        <v>0</v>
      </c>
      <c r="K38" s="18">
        <v>0</v>
      </c>
      <c r="L38" s="19">
        <v>0</v>
      </c>
      <c r="M38" s="17"/>
    </row>
    <row r="39" ht="10.95" customHeight="true" customFormat="true" s="9">
      <c r="A39" s="16">
        <v>45409</v>
      </c>
      <c r="B39" s="17"/>
      <c r="C39" s="17" t="s">
        <v>18</v>
      </c>
      <c r="D39" s="17" t="s">
        <v>28</v>
      </c>
      <c r="E39" s="17" t="s">
        <v>29</v>
      </c>
      <c r="F39" s="17" t="s">
        <v>35</v>
      </c>
      <c r="G39" s="17"/>
      <c r="H39" s="18">
        <v>0</v>
      </c>
      <c r="I39" s="18">
        <v>0.0100</v>
      </c>
      <c r="J39" s="18">
        <f ca="1">((J38 + H39) - I39)</f>
        <v>0</v>
      </c>
      <c r="K39" s="18">
        <v>0</v>
      </c>
      <c r="L39" s="19">
        <v>0</v>
      </c>
      <c r="M39" s="17"/>
    </row>
    <row r="40" ht="10.95" customHeight="true" customFormat="true" s="9">
      <c r="A40" s="16">
        <v>45409</v>
      </c>
      <c r="B40" s="17"/>
      <c r="C40" s="17" t="s">
        <v>18</v>
      </c>
      <c r="D40" s="17" t="s">
        <v>28</v>
      </c>
      <c r="E40" s="17" t="s">
        <v>36</v>
      </c>
      <c r="F40" s="17" t="s">
        <v>37</v>
      </c>
      <c r="G40" s="17" t="s">
        <v>38</v>
      </c>
      <c r="H40" s="18">
        <v>0</v>
      </c>
      <c r="I40" s="18">
        <v>1934.5800</v>
      </c>
      <c r="J40" s="18">
        <f ca="1">((J39 + H40) - I40)</f>
        <v>0</v>
      </c>
      <c r="K40" s="18">
        <v>0</v>
      </c>
      <c r="L40" s="19">
        <v>0</v>
      </c>
      <c r="M40" s="17"/>
    </row>
    <row r="41" ht="10.95" customHeight="true" customFormat="true" s="9">
      <c r="A41" s="16">
        <v>45409</v>
      </c>
      <c r="B41" s="17"/>
      <c r="C41" s="17" t="s">
        <v>18</v>
      </c>
      <c r="D41" s="17" t="s">
        <v>28</v>
      </c>
      <c r="E41" s="17" t="s">
        <v>29</v>
      </c>
      <c r="F41" s="17" t="s">
        <v>39</v>
      </c>
      <c r="G41" s="17"/>
      <c r="H41" s="18">
        <v>0</v>
      </c>
      <c r="I41" s="18">
        <v>0.0100</v>
      </c>
      <c r="J41" s="18">
        <f ca="1">((J40 + H41) - I41)</f>
        <v>0</v>
      </c>
      <c r="K41" s="18">
        <v>0</v>
      </c>
      <c r="L41" s="19">
        <v>0</v>
      </c>
      <c r="M41" s="17"/>
    </row>
    <row r="42" ht="10.95" customHeight="true" customFormat="true" s="9">
      <c r="A42" s="16">
        <v>45411</v>
      </c>
      <c r="B42" s="17"/>
      <c r="C42" s="17" t="s">
        <v>18</v>
      </c>
      <c r="D42" s="17" t="s">
        <v>28</v>
      </c>
      <c r="E42" s="17" t="s">
        <v>29</v>
      </c>
      <c r="F42" s="17" t="s">
        <v>40</v>
      </c>
      <c r="G42" s="17"/>
      <c r="H42" s="18">
        <v>0</v>
      </c>
      <c r="I42" s="18">
        <v>18788.0000</v>
      </c>
      <c r="J42" s="18">
        <f ca="1">((J41 + H42) - I42)</f>
        <v>0</v>
      </c>
      <c r="K42" s="18">
        <v>0</v>
      </c>
      <c r="L42" s="19">
        <v>0</v>
      </c>
      <c r="M42" s="17"/>
    </row>
    <row r="43" ht="10.95" customHeight="true" customFormat="true" s="9">
      <c r="A43" s="16">
        <v>45411</v>
      </c>
      <c r="B43" s="17"/>
      <c r="C43" s="17" t="s">
        <v>18</v>
      </c>
      <c r="D43" s="17" t="s">
        <v>28</v>
      </c>
      <c r="E43" s="17" t="s">
        <v>20</v>
      </c>
      <c r="F43" s="17" t="s">
        <v>41</v>
      </c>
      <c r="G43" s="17"/>
      <c r="H43" s="18">
        <v>45628.1400</v>
      </c>
      <c r="I43" s="18">
        <v>0</v>
      </c>
      <c r="J43" s="18">
        <f ca="1">((J42 + H43) - I43)</f>
        <v>0</v>
      </c>
      <c r="K43" s="18">
        <v>0</v>
      </c>
      <c r="L43" s="19">
        <v>0</v>
      </c>
      <c r="M43" s="17"/>
    </row>
    <row r="44" ht="10.95" customHeight="true" customFormat="true" s="9">
      <c r="A44" s="16">
        <v>45415</v>
      </c>
      <c r="B44" s="17"/>
      <c r="C44" s="17" t="s">
        <v>18</v>
      </c>
      <c r="D44" s="17" t="s">
        <v>28</v>
      </c>
      <c r="E44" s="17" t="s">
        <v>36</v>
      </c>
      <c r="F44" s="17" t="s">
        <v>42</v>
      </c>
      <c r="G44" s="17"/>
      <c r="H44" s="18">
        <v>0</v>
      </c>
      <c r="I44" s="18">
        <v>310.0000</v>
      </c>
      <c r="J44" s="18">
        <f ca="1">((J43 + H44) - I44)</f>
        <v>0</v>
      </c>
      <c r="K44" s="18">
        <v>0</v>
      </c>
      <c r="L44" s="19">
        <v>0</v>
      </c>
      <c r="M44" s="17"/>
    </row>
    <row r="45" ht="10.95" customHeight="true" customFormat="true" s="9">
      <c r="A45" s="16">
        <v>45415</v>
      </c>
      <c r="B45" s="17"/>
      <c r="C45" s="17" t="s">
        <v>18</v>
      </c>
      <c r="D45" s="17" t="s">
        <v>28</v>
      </c>
      <c r="E45" s="17" t="s">
        <v>36</v>
      </c>
      <c r="F45" s="17" t="s">
        <v>43</v>
      </c>
      <c r="G45" s="17" t="s">
        <v>44</v>
      </c>
      <c r="H45" s="18">
        <v>0</v>
      </c>
      <c r="I45" s="18">
        <v>2603.9800</v>
      </c>
      <c r="J45" s="18">
        <f ca="1">((J44 + H45) - I45)</f>
        <v>0</v>
      </c>
      <c r="K45" s="18">
        <v>0</v>
      </c>
      <c r="L45" s="19">
        <v>0</v>
      </c>
      <c r="M45" s="17"/>
    </row>
    <row r="46" ht="10.95" customHeight="true" customFormat="true" s="9">
      <c r="A46" s="16">
        <v>45428</v>
      </c>
      <c r="B46" s="17"/>
      <c r="C46" s="17" t="s">
        <v>18</v>
      </c>
      <c r="D46" s="17" t="s">
        <v>28</v>
      </c>
      <c r="E46" s="17" t="s">
        <v>29</v>
      </c>
      <c r="F46" s="17" t="s">
        <v>40</v>
      </c>
      <c r="G46" s="17"/>
      <c r="H46" s="18">
        <v>0</v>
      </c>
      <c r="I46" s="18">
        <v>7410.0000</v>
      </c>
      <c r="J46" s="18">
        <f ca="1">((J45 + H46) - I46)</f>
        <v>0</v>
      </c>
      <c r="K46" s="18">
        <v>0</v>
      </c>
      <c r="L46" s="19">
        <v>0</v>
      </c>
      <c r="M46" s="17"/>
    </row>
    <row r="47" ht="10.95" customHeight="true" customFormat="true" s="9">
      <c r="A47" s="16">
        <v>45439</v>
      </c>
      <c r="B47" s="17"/>
      <c r="C47" s="17" t="s">
        <v>18</v>
      </c>
      <c r="D47" s="17" t="s">
        <v>28</v>
      </c>
      <c r="E47" s="17" t="s">
        <v>36</v>
      </c>
      <c r="F47" s="17" t="s">
        <v>37</v>
      </c>
      <c r="G47" s="17" t="s">
        <v>38</v>
      </c>
      <c r="H47" s="18">
        <v>0</v>
      </c>
      <c r="I47" s="18">
        <v>1934.5900</v>
      </c>
      <c r="J47" s="18">
        <f ca="1">((J46 + H47) - I47)</f>
        <v>0</v>
      </c>
      <c r="K47" s="18">
        <v>0</v>
      </c>
      <c r="L47" s="19">
        <v>0</v>
      </c>
      <c r="M47" s="17"/>
    </row>
    <row r="48" ht="10.95" customHeight="true" customFormat="true" s="9">
      <c r="A48" s="16">
        <v>45439</v>
      </c>
      <c r="B48" s="17"/>
      <c r="C48" s="17" t="s">
        <v>18</v>
      </c>
      <c r="D48" s="17" t="s">
        <v>28</v>
      </c>
      <c r="E48" s="17" t="s">
        <v>29</v>
      </c>
      <c r="F48" s="17" t="s">
        <v>32</v>
      </c>
      <c r="G48" s="17"/>
      <c r="H48" s="18">
        <v>0</v>
      </c>
      <c r="I48" s="18">
        <v>10571.6100</v>
      </c>
      <c r="J48" s="18">
        <f ca="1">((J47 + H48) - I48)</f>
        <v>0</v>
      </c>
      <c r="K48" s="18">
        <v>0</v>
      </c>
      <c r="L48" s="19">
        <v>0</v>
      </c>
      <c r="M48" s="17"/>
    </row>
    <row r="49" ht="10.95" customHeight="true" customFormat="true" s="9">
      <c r="A49" s="16">
        <v>45439</v>
      </c>
      <c r="B49" s="17"/>
      <c r="C49" s="17" t="s">
        <v>18</v>
      </c>
      <c r="D49" s="17" t="s">
        <v>28</v>
      </c>
      <c r="E49" s="17" t="s">
        <v>29</v>
      </c>
      <c r="F49" s="17" t="s">
        <v>34</v>
      </c>
      <c r="G49" s="17"/>
      <c r="H49" s="18">
        <v>0</v>
      </c>
      <c r="I49" s="18">
        <v>4761.0000</v>
      </c>
      <c r="J49" s="18">
        <f ca="1">((J48 + H49) - I49)</f>
        <v>0</v>
      </c>
      <c r="K49" s="18">
        <v>0</v>
      </c>
      <c r="L49" s="19">
        <v>0</v>
      </c>
      <c r="M49" s="17"/>
    </row>
    <row r="50" ht="10.95" customHeight="true" customFormat="true" s="9">
      <c r="A50" s="16">
        <v>45439</v>
      </c>
      <c r="B50" s="17"/>
      <c r="C50" s="17" t="s">
        <v>18</v>
      </c>
      <c r="D50" s="17" t="s">
        <v>28</v>
      </c>
      <c r="E50" s="17" t="s">
        <v>29</v>
      </c>
      <c r="F50" s="17" t="s">
        <v>33</v>
      </c>
      <c r="G50" s="17"/>
      <c r="H50" s="18">
        <v>0</v>
      </c>
      <c r="I50" s="18">
        <v>4117.0000</v>
      </c>
      <c r="J50" s="18">
        <f ca="1">((J49 + H50) - I50)</f>
        <v>0</v>
      </c>
      <c r="K50" s="18">
        <v>0</v>
      </c>
      <c r="L50" s="19">
        <v>0</v>
      </c>
      <c r="M50" s="17"/>
    </row>
    <row r="51" ht="10.95" customHeight="true" customFormat="true" s="9">
      <c r="A51" s="16">
        <v>45448</v>
      </c>
      <c r="B51" s="17"/>
      <c r="C51" s="17" t="s">
        <v>18</v>
      </c>
      <c r="D51" s="17" t="s">
        <v>28</v>
      </c>
      <c r="E51" s="17" t="s">
        <v>20</v>
      </c>
      <c r="F51" s="17" t="s">
        <v>22</v>
      </c>
      <c r="G51" s="17"/>
      <c r="H51" s="18">
        <v>37517.3100</v>
      </c>
      <c r="I51" s="18">
        <v>0</v>
      </c>
      <c r="J51" s="18">
        <f ca="1">((J50 + H51) - I51)</f>
        <v>0</v>
      </c>
      <c r="K51" s="18">
        <v>0</v>
      </c>
      <c r="L51" s="19">
        <v>0</v>
      </c>
      <c r="M51" s="17"/>
    </row>
    <row r="52" ht="10.95" customHeight="true" customFormat="true" s="9">
      <c r="A52" s="16">
        <v>45463</v>
      </c>
      <c r="B52" s="17"/>
      <c r="C52" s="17" t="s">
        <v>18</v>
      </c>
      <c r="D52" s="17" t="s">
        <v>28</v>
      </c>
      <c r="E52" s="17" t="s">
        <v>29</v>
      </c>
      <c r="F52" s="17" t="s">
        <v>40</v>
      </c>
      <c r="G52" s="17"/>
      <c r="H52" s="18">
        <v>0</v>
      </c>
      <c r="I52" s="18">
        <v>7419.0000</v>
      </c>
      <c r="J52" s="18">
        <f ca="1">((J51 + H52) - I52)</f>
        <v>0</v>
      </c>
      <c r="K52" s="18">
        <v>0</v>
      </c>
      <c r="L52" s="19">
        <v>0</v>
      </c>
      <c r="M52" s="17"/>
    </row>
    <row r="53" ht="10.95" customHeight="true" customFormat="true" s="9">
      <c r="A53" s="16">
        <v>45463</v>
      </c>
      <c r="B53" s="17"/>
      <c r="C53" s="17" t="s">
        <v>18</v>
      </c>
      <c r="D53" s="17" t="s">
        <v>28</v>
      </c>
      <c r="E53" s="17" t="s">
        <v>36</v>
      </c>
      <c r="F53" s="17" t="s">
        <v>43</v>
      </c>
      <c r="G53" s="17" t="s">
        <v>45</v>
      </c>
      <c r="H53" s="18">
        <v>0</v>
      </c>
      <c r="I53" s="18">
        <v>2750.0000</v>
      </c>
      <c r="J53" s="18">
        <f ca="1">((J52 + H53) - I53)</f>
        <v>0</v>
      </c>
      <c r="K53" s="18">
        <v>0</v>
      </c>
      <c r="L53" s="19">
        <v>0</v>
      </c>
      <c r="M53" s="17"/>
    </row>
    <row r="54" ht="10.95" customHeight="true" customFormat="true" s="9">
      <c r="A54" s="16">
        <v>45463</v>
      </c>
      <c r="B54" s="17"/>
      <c r="C54" s="17" t="s">
        <v>18</v>
      </c>
      <c r="D54" s="17" t="s">
        <v>28</v>
      </c>
      <c r="E54" s="17" t="s">
        <v>36</v>
      </c>
      <c r="F54" s="17" t="s">
        <v>43</v>
      </c>
      <c r="G54" s="17" t="s">
        <v>46</v>
      </c>
      <c r="H54" s="18">
        <v>0</v>
      </c>
      <c r="I54" s="18">
        <v>770.0000</v>
      </c>
      <c r="J54" s="18">
        <f ca="1">((J53 + H54) - I54)</f>
        <v>0</v>
      </c>
      <c r="K54" s="18">
        <v>0</v>
      </c>
      <c r="L54" s="19">
        <v>0</v>
      </c>
      <c r="M54" s="17"/>
    </row>
    <row r="55" ht="10.95" customHeight="true" customFormat="true" s="9">
      <c r="A55" s="16">
        <v>45467</v>
      </c>
      <c r="B55" s="17"/>
      <c r="C55" s="17" t="s">
        <v>18</v>
      </c>
      <c r="D55" s="17" t="s">
        <v>28</v>
      </c>
      <c r="E55" s="17" t="s">
        <v>29</v>
      </c>
      <c r="F55" s="17" t="s">
        <v>34</v>
      </c>
      <c r="G55" s="17"/>
      <c r="H55" s="18">
        <v>0</v>
      </c>
      <c r="I55" s="18">
        <v>4761.0000</v>
      </c>
      <c r="J55" s="18">
        <f ca="1">((J54 + H55) - I55)</f>
        <v>0</v>
      </c>
      <c r="K55" s="18">
        <v>0</v>
      </c>
      <c r="L55" s="19">
        <v>0</v>
      </c>
      <c r="M55" s="17"/>
    </row>
    <row r="56" ht="10.95" customHeight="true" customFormat="true" s="9">
      <c r="A56" s="16">
        <v>45467</v>
      </c>
      <c r="B56" s="17"/>
      <c r="C56" s="17" t="s">
        <v>18</v>
      </c>
      <c r="D56" s="17" t="s">
        <v>28</v>
      </c>
      <c r="E56" s="17" t="s">
        <v>29</v>
      </c>
      <c r="F56" s="17" t="s">
        <v>33</v>
      </c>
      <c r="G56" s="17"/>
      <c r="H56" s="18">
        <v>0</v>
      </c>
      <c r="I56" s="18">
        <v>4117.0000</v>
      </c>
      <c r="J56" s="18">
        <f ca="1">((J55 + H56) - I56)</f>
        <v>0</v>
      </c>
      <c r="K56" s="18">
        <v>0</v>
      </c>
      <c r="L56" s="19">
        <v>0</v>
      </c>
      <c r="M56" s="17"/>
    </row>
    <row r="57" ht="10.95" customHeight="true" customFormat="true" s="9">
      <c r="A57" s="16">
        <v>45467</v>
      </c>
      <c r="B57" s="17"/>
      <c r="C57" s="17" t="s">
        <v>18</v>
      </c>
      <c r="D57" s="17" t="s">
        <v>28</v>
      </c>
      <c r="E57" s="17" t="s">
        <v>29</v>
      </c>
      <c r="F57" s="17" t="s">
        <v>32</v>
      </c>
      <c r="G57" s="17"/>
      <c r="H57" s="18">
        <v>0</v>
      </c>
      <c r="I57" s="18">
        <v>11789.6500</v>
      </c>
      <c r="J57" s="18">
        <f ca="1">((J56 + H57) - I57)</f>
        <v>0</v>
      </c>
      <c r="K57" s="18">
        <v>0</v>
      </c>
      <c r="L57" s="19">
        <v>0</v>
      </c>
      <c r="M57" s="17"/>
    </row>
    <row r="58" ht="10.95" customHeight="true" customFormat="true" s="9">
      <c r="A58" s="16">
        <v>45467</v>
      </c>
      <c r="B58" s="17"/>
      <c r="C58" s="17" t="s">
        <v>18</v>
      </c>
      <c r="D58" s="17" t="s">
        <v>28</v>
      </c>
      <c r="E58" s="17" t="s">
        <v>20</v>
      </c>
      <c r="F58" s="17" t="s">
        <v>22</v>
      </c>
      <c r="G58" s="17"/>
      <c r="H58" s="18">
        <v>22487.6400</v>
      </c>
      <c r="I58" s="18">
        <v>0</v>
      </c>
      <c r="J58" s="18">
        <f ca="1">((J57 + H58) - I58)</f>
        <v>0</v>
      </c>
      <c r="K58" s="18">
        <v>0</v>
      </c>
      <c r="L58" s="19">
        <v>0</v>
      </c>
      <c r="M58" s="17"/>
    </row>
    <row r="59" ht="10.95" customHeight="true" customFormat="true" s="9">
      <c r="A59" s="16">
        <v>45470</v>
      </c>
      <c r="B59" s="17"/>
      <c r="C59" s="17" t="s">
        <v>18</v>
      </c>
      <c r="D59" s="17" t="s">
        <v>28</v>
      </c>
      <c r="E59" s="17" t="s">
        <v>36</v>
      </c>
      <c r="F59" s="17" t="s">
        <v>37</v>
      </c>
      <c r="G59" s="17" t="s">
        <v>38</v>
      </c>
      <c r="H59" s="18">
        <v>0</v>
      </c>
      <c r="I59" s="18">
        <v>1934.5900</v>
      </c>
      <c r="J59" s="18">
        <f ca="1">((J58 + H59) - I59)</f>
        <v>0</v>
      </c>
      <c r="K59" s="18">
        <v>0</v>
      </c>
      <c r="L59" s="19">
        <v>0</v>
      </c>
      <c r="M59" s="17"/>
    </row>
    <row r="60" ht="10.95" customHeight="true" customFormat="true" s="9">
      <c r="A60" s="16">
        <v>45475</v>
      </c>
      <c r="B60" s="17"/>
      <c r="C60" s="17" t="s">
        <v>18</v>
      </c>
      <c r="D60" s="17" t="s">
        <v>28</v>
      </c>
      <c r="E60" s="17" t="s">
        <v>29</v>
      </c>
      <c r="F60" s="17" t="s">
        <v>30</v>
      </c>
      <c r="G60" s="17"/>
      <c r="H60" s="18">
        <v>0</v>
      </c>
      <c r="I60" s="18">
        <v>8425.9800</v>
      </c>
      <c r="J60" s="18">
        <f ca="1">((J59 + H60) - I60)</f>
        <v>0</v>
      </c>
      <c r="K60" s="18">
        <v>0</v>
      </c>
      <c r="L60" s="19">
        <v>0</v>
      </c>
      <c r="M60" s="17"/>
    </row>
    <row r="61" ht="10.95" customHeight="true" customFormat="true" s="9">
      <c r="A61" s="16">
        <v>45498</v>
      </c>
      <c r="B61" s="17"/>
      <c r="C61" s="17" t="s">
        <v>18</v>
      </c>
      <c r="D61" s="17" t="s">
        <v>28</v>
      </c>
      <c r="E61" s="17" t="s">
        <v>29</v>
      </c>
      <c r="F61" s="17" t="s">
        <v>34</v>
      </c>
      <c r="G61" s="17"/>
      <c r="H61" s="18">
        <v>0</v>
      </c>
      <c r="I61" s="18">
        <v>4930.0000</v>
      </c>
      <c r="J61" s="18">
        <f ca="1">((J60 + H61) - I61)</f>
        <v>0</v>
      </c>
      <c r="K61" s="18">
        <v>0</v>
      </c>
      <c r="L61" s="19">
        <v>0</v>
      </c>
      <c r="M61" s="17"/>
    </row>
    <row r="62" ht="10.95" customHeight="true" customFormat="true" s="9">
      <c r="A62" s="16">
        <v>45498</v>
      </c>
      <c r="B62" s="17"/>
      <c r="C62" s="17" t="s">
        <v>18</v>
      </c>
      <c r="D62" s="17" t="s">
        <v>28</v>
      </c>
      <c r="E62" s="17" t="s">
        <v>29</v>
      </c>
      <c r="F62" s="17" t="s">
        <v>32</v>
      </c>
      <c r="G62" s="17"/>
      <c r="H62" s="18">
        <v>0</v>
      </c>
      <c r="I62" s="18">
        <v>10895.6100</v>
      </c>
      <c r="J62" s="18">
        <f ca="1">((J61 + H62) - I62)</f>
        <v>0</v>
      </c>
      <c r="K62" s="18">
        <v>0</v>
      </c>
      <c r="L62" s="19">
        <v>0</v>
      </c>
      <c r="M62" s="17"/>
    </row>
    <row r="63" ht="10.95" customHeight="true" customFormat="true" s="9">
      <c r="A63" s="16">
        <v>45498</v>
      </c>
      <c r="B63" s="17"/>
      <c r="C63" s="17" t="s">
        <v>18</v>
      </c>
      <c r="D63" s="17" t="s">
        <v>28</v>
      </c>
      <c r="E63" s="17" t="s">
        <v>29</v>
      </c>
      <c r="F63" s="17" t="s">
        <v>33</v>
      </c>
      <c r="G63" s="17"/>
      <c r="H63" s="18">
        <v>0</v>
      </c>
      <c r="I63" s="18">
        <v>4217.0000</v>
      </c>
      <c r="J63" s="18">
        <f ca="1">((J62 + H63) - I63)</f>
        <v>0</v>
      </c>
      <c r="K63" s="18">
        <v>0</v>
      </c>
      <c r="L63" s="19">
        <v>0</v>
      </c>
      <c r="M63" s="17"/>
    </row>
    <row r="64" ht="10.95" customHeight="true" customFormat="true" s="9">
      <c r="A64" s="16">
        <v>45498</v>
      </c>
      <c r="B64" s="17"/>
      <c r="C64" s="17" t="s">
        <v>18</v>
      </c>
      <c r="D64" s="17" t="s">
        <v>28</v>
      </c>
      <c r="E64" s="17" t="s">
        <v>47</v>
      </c>
      <c r="F64" s="17" t="s">
        <v>48</v>
      </c>
      <c r="G64" s="17" t="s">
        <v>49</v>
      </c>
      <c r="H64" s="18">
        <v>9182.3900</v>
      </c>
      <c r="I64" s="18">
        <v>0</v>
      </c>
      <c r="J64" s="18">
        <f ca="1">((J63 + H64) - I64)</f>
        <v>0</v>
      </c>
      <c r="K64" s="18">
        <v>0</v>
      </c>
      <c r="L64" s="19">
        <v>0</v>
      </c>
      <c r="M64" s="17"/>
    </row>
    <row r="65" ht="10.95" customHeight="true" customFormat="true" s="9">
      <c r="A65" s="16">
        <v>45501</v>
      </c>
      <c r="B65" s="17"/>
      <c r="C65" s="17" t="s">
        <v>18</v>
      </c>
      <c r="D65" s="17" t="s">
        <v>28</v>
      </c>
      <c r="E65" s="17" t="s">
        <v>36</v>
      </c>
      <c r="F65" s="17" t="s">
        <v>37</v>
      </c>
      <c r="G65" s="17" t="s">
        <v>38</v>
      </c>
      <c r="H65" s="18">
        <v>0</v>
      </c>
      <c r="I65" s="18">
        <v>1934.5900</v>
      </c>
      <c r="J65" s="18">
        <f ca="1">((J64 + H65) - I65)</f>
        <v>0</v>
      </c>
      <c r="K65" s="18">
        <v>0</v>
      </c>
      <c r="L65" s="19">
        <v>0</v>
      </c>
      <c r="M65" s="17"/>
    </row>
    <row r="66" ht="10.95" customHeight="true" customFormat="true" s="9">
      <c r="A66" s="16">
        <v>45502</v>
      </c>
      <c r="B66" s="17"/>
      <c r="C66" s="17" t="s">
        <v>18</v>
      </c>
      <c r="D66" s="17" t="s">
        <v>28</v>
      </c>
      <c r="E66" s="17" t="s">
        <v>36</v>
      </c>
      <c r="F66" s="17" t="s">
        <v>43</v>
      </c>
      <c r="G66" s="17" t="s">
        <v>50</v>
      </c>
      <c r="H66" s="18">
        <v>0</v>
      </c>
      <c r="I66" s="18">
        <v>2750.0000</v>
      </c>
      <c r="J66" s="18">
        <f ca="1">((J65 + H66) - I66)</f>
        <v>0</v>
      </c>
      <c r="K66" s="18">
        <v>0</v>
      </c>
      <c r="L66" s="19">
        <v>0</v>
      </c>
      <c r="M66" s="17"/>
    </row>
    <row r="67" ht="10.95" customHeight="true" customFormat="true" s="9">
      <c r="A67" s="16">
        <v>45502</v>
      </c>
      <c r="B67" s="17"/>
      <c r="C67" s="17" t="s">
        <v>18</v>
      </c>
      <c r="D67" s="17" t="s">
        <v>28</v>
      </c>
      <c r="E67" s="17" t="s">
        <v>20</v>
      </c>
      <c r="F67" s="17" t="s">
        <v>22</v>
      </c>
      <c r="G67" s="17"/>
      <c r="H67" s="18">
        <v>30387.8900</v>
      </c>
      <c r="I67" s="18">
        <v>0</v>
      </c>
      <c r="J67" s="18">
        <f ca="1">((J66 + H67) - I67)</f>
        <v>0</v>
      </c>
      <c r="K67" s="18">
        <v>0</v>
      </c>
      <c r="L67" s="19">
        <v>0</v>
      </c>
      <c r="M67" s="17"/>
    </row>
    <row r="68" ht="10.95" customHeight="true" customFormat="true" s="9">
      <c r="A68" s="16">
        <v>45520</v>
      </c>
      <c r="B68" s="17"/>
      <c r="C68" s="17" t="s">
        <v>18</v>
      </c>
      <c r="D68" s="17" t="s">
        <v>28</v>
      </c>
      <c r="E68" s="17" t="s">
        <v>36</v>
      </c>
      <c r="F68" s="17" t="s">
        <v>43</v>
      </c>
      <c r="G68" s="17" t="s">
        <v>51</v>
      </c>
      <c r="H68" s="18">
        <v>0</v>
      </c>
      <c r="I68" s="18">
        <v>2750.0000</v>
      </c>
      <c r="J68" s="18">
        <f ca="1">((J67 + H68) - I68)</f>
        <v>0</v>
      </c>
      <c r="K68" s="18">
        <v>0</v>
      </c>
      <c r="L68" s="19">
        <v>0</v>
      </c>
      <c r="M68" s="17"/>
    </row>
    <row r="69" ht="10.95" customHeight="true" customFormat="true" s="9">
      <c r="A69" s="16">
        <v>45520</v>
      </c>
      <c r="B69" s="17"/>
      <c r="C69" s="17" t="s">
        <v>18</v>
      </c>
      <c r="D69" s="17" t="s">
        <v>28</v>
      </c>
      <c r="E69" s="17" t="s">
        <v>29</v>
      </c>
      <c r="F69" s="17" t="s">
        <v>40</v>
      </c>
      <c r="G69" s="17"/>
      <c r="H69" s="18">
        <v>0</v>
      </c>
      <c r="I69" s="18">
        <v>6807.0000</v>
      </c>
      <c r="J69" s="18">
        <f ca="1">((J68 + H69) - I69)</f>
        <v>0</v>
      </c>
      <c r="K69" s="18">
        <v>0</v>
      </c>
      <c r="L69" s="19">
        <v>0</v>
      </c>
      <c r="M69" s="17"/>
    </row>
    <row r="70" ht="10.95" customHeight="true" customFormat="true" s="9">
      <c r="A70" s="16">
        <v>45520</v>
      </c>
      <c r="B70" s="17"/>
      <c r="C70" s="17" t="s">
        <v>18</v>
      </c>
      <c r="D70" s="17" t="s">
        <v>28</v>
      </c>
      <c r="E70" s="17" t="s">
        <v>29</v>
      </c>
      <c r="F70" s="17" t="s">
        <v>52</v>
      </c>
      <c r="G70" s="17"/>
      <c r="H70" s="18">
        <v>0</v>
      </c>
      <c r="I70" s="18">
        <v>2125.5600</v>
      </c>
      <c r="J70" s="18">
        <f ca="1">((J69 + H70) - I70)</f>
        <v>0</v>
      </c>
      <c r="K70" s="18">
        <v>0</v>
      </c>
      <c r="L70" s="19">
        <v>0</v>
      </c>
      <c r="M70" s="17"/>
    </row>
    <row r="71" ht="10.95" customHeight="true" customFormat="true" s="9">
      <c r="A71" s="16">
        <v>45527</v>
      </c>
      <c r="B71" s="17"/>
      <c r="C71" s="17" t="s">
        <v>18</v>
      </c>
      <c r="D71" s="17" t="s">
        <v>28</v>
      </c>
      <c r="E71" s="17" t="s">
        <v>29</v>
      </c>
      <c r="F71" s="17" t="s">
        <v>30</v>
      </c>
      <c r="G71" s="17"/>
      <c r="H71" s="18">
        <v>0</v>
      </c>
      <c r="I71" s="18">
        <v>7168.0000</v>
      </c>
      <c r="J71" s="18">
        <f ca="1">((J70 + H71) - I71)</f>
        <v>0</v>
      </c>
      <c r="K71" s="18">
        <v>0</v>
      </c>
      <c r="L71" s="19">
        <v>0</v>
      </c>
      <c r="M71" s="17"/>
    </row>
    <row r="72" ht="10.95" customHeight="true" customFormat="true" s="9">
      <c r="A72" s="16">
        <v>45530</v>
      </c>
      <c r="B72" s="17"/>
      <c r="C72" s="17" t="s">
        <v>18</v>
      </c>
      <c r="D72" s="17" t="s">
        <v>28</v>
      </c>
      <c r="E72" s="17" t="s">
        <v>29</v>
      </c>
      <c r="F72" s="17" t="s">
        <v>34</v>
      </c>
      <c r="G72" s="17" t="s">
        <v>53</v>
      </c>
      <c r="H72" s="18">
        <v>0</v>
      </c>
      <c r="I72" s="18">
        <v>4930.0000</v>
      </c>
      <c r="J72" s="18">
        <f ca="1">((J71 + H72) - I72)</f>
        <v>0</v>
      </c>
      <c r="K72" s="18">
        <v>0</v>
      </c>
      <c r="L72" s="19">
        <v>0</v>
      </c>
      <c r="M72" s="17"/>
    </row>
    <row r="73" ht="10.95" customHeight="true" customFormat="true" s="9">
      <c r="A73" s="16">
        <v>45530</v>
      </c>
      <c r="B73" s="17"/>
      <c r="C73" s="17" t="s">
        <v>18</v>
      </c>
      <c r="D73" s="17" t="s">
        <v>28</v>
      </c>
      <c r="E73" s="17" t="s">
        <v>29</v>
      </c>
      <c r="F73" s="17" t="s">
        <v>32</v>
      </c>
      <c r="G73" s="17" t="s">
        <v>53</v>
      </c>
      <c r="H73" s="18">
        <v>0</v>
      </c>
      <c r="I73" s="18">
        <v>10895.6100</v>
      </c>
      <c r="J73" s="18">
        <f ca="1">((J72 + H73) - I73)</f>
        <v>0</v>
      </c>
      <c r="K73" s="18">
        <v>0</v>
      </c>
      <c r="L73" s="19">
        <v>0</v>
      </c>
      <c r="M73" s="17"/>
    </row>
    <row r="74" ht="10.95" customHeight="true" customFormat="true" s="9">
      <c r="A74" s="16">
        <v>45530</v>
      </c>
      <c r="B74" s="17"/>
      <c r="C74" s="17" t="s">
        <v>18</v>
      </c>
      <c r="D74" s="17" t="s">
        <v>28</v>
      </c>
      <c r="E74" s="17" t="s">
        <v>29</v>
      </c>
      <c r="F74" s="17" t="s">
        <v>33</v>
      </c>
      <c r="G74" s="17" t="s">
        <v>53</v>
      </c>
      <c r="H74" s="18">
        <v>0</v>
      </c>
      <c r="I74" s="18">
        <v>4217.0000</v>
      </c>
      <c r="J74" s="18">
        <f ca="1">((J73 + H74) - I74)</f>
        <v>0</v>
      </c>
      <c r="K74" s="18">
        <v>0</v>
      </c>
      <c r="L74" s="19">
        <v>0</v>
      </c>
      <c r="M74" s="17"/>
    </row>
    <row r="75" ht="10.95" customHeight="true" customFormat="true" s="9">
      <c r="A75" s="16">
        <v>45530</v>
      </c>
      <c r="B75" s="17"/>
      <c r="C75" s="17" t="s">
        <v>18</v>
      </c>
      <c r="D75" s="17" t="s">
        <v>28</v>
      </c>
      <c r="E75" s="17" t="s">
        <v>36</v>
      </c>
      <c r="F75" s="17" t="s">
        <v>37</v>
      </c>
      <c r="G75" s="17" t="s">
        <v>38</v>
      </c>
      <c r="H75" s="18">
        <v>0</v>
      </c>
      <c r="I75" s="18">
        <v>1934.5900</v>
      </c>
      <c r="J75" s="18">
        <f ca="1">((J74 + H75) - I75)</f>
        <v>0</v>
      </c>
      <c r="K75" s="18">
        <v>0</v>
      </c>
      <c r="L75" s="19">
        <v>0</v>
      </c>
      <c r="M75" s="17"/>
    </row>
    <row r="76" ht="10.95" customHeight="true" customFormat="true" s="9">
      <c r="A76" s="16">
        <v>45530</v>
      </c>
      <c r="B76" s="17"/>
      <c r="C76" s="17" t="s">
        <v>18</v>
      </c>
      <c r="D76" s="17" t="s">
        <v>28</v>
      </c>
      <c r="E76" s="17" t="s">
        <v>29</v>
      </c>
      <c r="F76" s="17" t="s">
        <v>39</v>
      </c>
      <c r="G76" s="17"/>
      <c r="H76" s="18">
        <v>0</v>
      </c>
      <c r="I76" s="18">
        <v>0.0100</v>
      </c>
      <c r="J76" s="18">
        <f ca="1">((J75 + H76) - I76)</f>
        <v>0</v>
      </c>
      <c r="K76" s="18">
        <v>0</v>
      </c>
      <c r="L76" s="19">
        <v>0</v>
      </c>
      <c r="M76" s="17"/>
    </row>
    <row r="77" ht="10.95" customHeight="true" customFormat="true" s="9">
      <c r="A77" s="16">
        <v>45530</v>
      </c>
      <c r="B77" s="17"/>
      <c r="C77" s="17" t="s">
        <v>18</v>
      </c>
      <c r="D77" s="17" t="s">
        <v>28</v>
      </c>
      <c r="E77" s="17" t="s">
        <v>20</v>
      </c>
      <c r="F77" s="17" t="s">
        <v>41</v>
      </c>
      <c r="G77" s="17"/>
      <c r="H77" s="18">
        <v>29356.6800</v>
      </c>
      <c r="I77" s="18">
        <v>0</v>
      </c>
      <c r="J77" s="18">
        <f ca="1">((J76 + H77) - I77)</f>
        <v>0</v>
      </c>
      <c r="K77" s="18">
        <v>0</v>
      </c>
      <c r="L77" s="19">
        <v>0</v>
      </c>
      <c r="M77" s="17"/>
    </row>
    <row r="78" ht="10.95" customHeight="true" customFormat="true" s="9">
      <c r="A78" s="16">
        <v>45546</v>
      </c>
      <c r="B78" s="17"/>
      <c r="C78" s="17" t="s">
        <v>18</v>
      </c>
      <c r="D78" s="17" t="s">
        <v>28</v>
      </c>
      <c r="E78" s="17" t="s">
        <v>29</v>
      </c>
      <c r="F78" s="17" t="s">
        <v>40</v>
      </c>
      <c r="G78" s="17"/>
      <c r="H78" s="18">
        <v>0</v>
      </c>
      <c r="I78" s="18">
        <v>6807.0000</v>
      </c>
      <c r="J78" s="18">
        <f ca="1">((J77 + H78) - I78)</f>
        <v>0</v>
      </c>
      <c r="K78" s="18">
        <v>0</v>
      </c>
      <c r="L78" s="19">
        <v>0</v>
      </c>
      <c r="M78" s="17"/>
    </row>
    <row r="79" ht="10.95" customHeight="true" customFormat="true" s="9">
      <c r="A79" s="16">
        <v>45546</v>
      </c>
      <c r="B79" s="17"/>
      <c r="C79" s="17" t="s">
        <v>18</v>
      </c>
      <c r="D79" s="17" t="s">
        <v>28</v>
      </c>
      <c r="E79" s="17" t="s">
        <v>36</v>
      </c>
      <c r="F79" s="17" t="s">
        <v>43</v>
      </c>
      <c r="G79" s="17" t="s">
        <v>54</v>
      </c>
      <c r="H79" s="18">
        <v>0</v>
      </c>
      <c r="I79" s="18">
        <v>2750.0000</v>
      </c>
      <c r="J79" s="18">
        <f ca="1">((J78 + H79) - I79)</f>
        <v>0</v>
      </c>
      <c r="K79" s="18">
        <v>0</v>
      </c>
      <c r="L79" s="19">
        <v>0</v>
      </c>
      <c r="M79" s="17"/>
    </row>
    <row r="80" ht="10.95" customHeight="true" customFormat="true" s="9">
      <c r="A80" s="16">
        <v>45559</v>
      </c>
      <c r="B80" s="17"/>
      <c r="C80" s="17" t="s">
        <v>18</v>
      </c>
      <c r="D80" s="17" t="s">
        <v>28</v>
      </c>
      <c r="E80" s="17" t="s">
        <v>20</v>
      </c>
      <c r="F80" s="17" t="s">
        <v>22</v>
      </c>
      <c r="G80" s="17"/>
      <c r="H80" s="18">
        <v>29217.2100</v>
      </c>
      <c r="I80" s="18">
        <v>0</v>
      </c>
      <c r="J80" s="18">
        <f ca="1">((J79 + H80) - I80)</f>
        <v>0</v>
      </c>
      <c r="K80" s="18">
        <v>0</v>
      </c>
      <c r="L80" s="19">
        <v>0</v>
      </c>
      <c r="M80" s="17"/>
    </row>
    <row r="81" ht="10.95" customHeight="true" customFormat="true" s="9">
      <c r="A81" s="16">
        <v>45560</v>
      </c>
      <c r="B81" s="17"/>
      <c r="C81" s="17" t="s">
        <v>18</v>
      </c>
      <c r="D81" s="17" t="s">
        <v>28</v>
      </c>
      <c r="E81" s="17" t="s">
        <v>29</v>
      </c>
      <c r="F81" s="17" t="s">
        <v>34</v>
      </c>
      <c r="G81" s="17"/>
      <c r="H81" s="18">
        <v>0</v>
      </c>
      <c r="I81" s="18">
        <v>4930.0000</v>
      </c>
      <c r="J81" s="18">
        <f ca="1">((J80 + H81) - I81)</f>
        <v>0</v>
      </c>
      <c r="K81" s="18">
        <v>0</v>
      </c>
      <c r="L81" s="19">
        <v>0</v>
      </c>
      <c r="M81" s="17"/>
    </row>
    <row r="82" ht="10.95" customHeight="true" customFormat="true" s="9">
      <c r="A82" s="16">
        <v>45560</v>
      </c>
      <c r="B82" s="17"/>
      <c r="C82" s="17" t="s">
        <v>18</v>
      </c>
      <c r="D82" s="17" t="s">
        <v>28</v>
      </c>
      <c r="E82" s="17" t="s">
        <v>29</v>
      </c>
      <c r="F82" s="17" t="s">
        <v>32</v>
      </c>
      <c r="G82" s="17"/>
      <c r="H82" s="18">
        <v>0</v>
      </c>
      <c r="I82" s="18">
        <v>10895.6100</v>
      </c>
      <c r="J82" s="18">
        <f ca="1">((J81 + H82) - I82)</f>
        <v>0</v>
      </c>
      <c r="K82" s="18">
        <v>0</v>
      </c>
      <c r="L82" s="19">
        <v>0</v>
      </c>
      <c r="M82" s="17"/>
    </row>
    <row r="83" ht="10.95" customHeight="true" customFormat="true" s="9">
      <c r="A83" s="16">
        <v>45560</v>
      </c>
      <c r="B83" s="17"/>
      <c r="C83" s="17" t="s">
        <v>18</v>
      </c>
      <c r="D83" s="17" t="s">
        <v>28</v>
      </c>
      <c r="E83" s="17" t="s">
        <v>29</v>
      </c>
      <c r="F83" s="17" t="s">
        <v>33</v>
      </c>
      <c r="G83" s="17"/>
      <c r="H83" s="18">
        <v>0</v>
      </c>
      <c r="I83" s="18">
        <v>4217.0000</v>
      </c>
      <c r="J83" s="18">
        <f ca="1">((J82 + H83) - I83)</f>
        <v>0</v>
      </c>
      <c r="K83" s="18">
        <v>0</v>
      </c>
      <c r="L83" s="19">
        <v>0</v>
      </c>
      <c r="M83" s="17"/>
    </row>
    <row r="84" ht="10.95" customHeight="true" customFormat="true" s="9">
      <c r="A84" s="16">
        <v>45561</v>
      </c>
      <c r="B84" s="17"/>
      <c r="C84" s="17" t="s">
        <v>18</v>
      </c>
      <c r="D84" s="17" t="s">
        <v>28</v>
      </c>
      <c r="E84" s="17" t="s">
        <v>36</v>
      </c>
      <c r="F84" s="17" t="s">
        <v>37</v>
      </c>
      <c r="G84" s="17" t="s">
        <v>38</v>
      </c>
      <c r="H84" s="18">
        <v>0</v>
      </c>
      <c r="I84" s="18">
        <v>1934.5900</v>
      </c>
      <c r="J84" s="18">
        <f ca="1">((J83 + H84) - I84)</f>
        <v>0</v>
      </c>
      <c r="K84" s="18">
        <v>0</v>
      </c>
      <c r="L84" s="19">
        <v>0</v>
      </c>
      <c r="M84" s="17"/>
    </row>
    <row r="85" ht="10.95" customHeight="true" customFormat="true" s="9">
      <c r="A85" s="16">
        <v>45565</v>
      </c>
      <c r="B85" s="17"/>
      <c r="C85" s="17" t="s">
        <v>18</v>
      </c>
      <c r="D85" s="17" t="s">
        <v>28</v>
      </c>
      <c r="E85" s="17" t="s">
        <v>47</v>
      </c>
      <c r="F85" s="17" t="s">
        <v>39</v>
      </c>
      <c r="G85" s="17"/>
      <c r="H85" s="18">
        <v>0.0200</v>
      </c>
      <c r="I85" s="18">
        <v>0</v>
      </c>
      <c r="J85" s="18">
        <f ca="1">((J84 + H85) - I85)</f>
        <v>0</v>
      </c>
      <c r="K85" s="18">
        <v>0</v>
      </c>
      <c r="L85" s="19">
        <v>0</v>
      </c>
      <c r="M85" s="17"/>
    </row>
    <row r="86" ht="10.95" customHeight="true" customFormat="true" s="9">
      <c r="A86" s="16">
        <v>45573</v>
      </c>
      <c r="B86" s="17"/>
      <c r="C86" s="17" t="s">
        <v>18</v>
      </c>
      <c r="D86" s="17" t="s">
        <v>28</v>
      </c>
      <c r="E86" s="17" t="s">
        <v>36</v>
      </c>
      <c r="F86" s="17" t="s">
        <v>55</v>
      </c>
      <c r="G86" s="17" t="s">
        <v>56</v>
      </c>
      <c r="H86" s="18">
        <v>0</v>
      </c>
      <c r="I86" s="18">
        <v>5963.3700</v>
      </c>
      <c r="J86" s="18">
        <f ca="1">((J85 + H86) - I86)</f>
        <v>0</v>
      </c>
      <c r="K86" s="18">
        <v>0</v>
      </c>
      <c r="L86" s="19">
        <v>0</v>
      </c>
      <c r="M86" s="17"/>
    </row>
    <row r="87" ht="10.95" customHeight="true" customFormat="true" s="9">
      <c r="A87" s="16">
        <v>45573</v>
      </c>
      <c r="B87" s="17"/>
      <c r="C87" s="17" t="s">
        <v>18</v>
      </c>
      <c r="D87" s="17" t="s">
        <v>28</v>
      </c>
      <c r="E87" s="17" t="s">
        <v>36</v>
      </c>
      <c r="F87" s="17" t="s">
        <v>55</v>
      </c>
      <c r="G87" s="17" t="s">
        <v>57</v>
      </c>
      <c r="H87" s="18">
        <v>0</v>
      </c>
      <c r="I87" s="18">
        <v>1187.6000</v>
      </c>
      <c r="J87" s="18">
        <f ca="1">((J86 + H87) - I87)</f>
        <v>0</v>
      </c>
      <c r="K87" s="18">
        <v>0</v>
      </c>
      <c r="L87" s="19">
        <v>0</v>
      </c>
      <c r="M87" s="17"/>
    </row>
    <row r="88" ht="10.95" customHeight="true" customFormat="true" s="9">
      <c r="A88" s="16">
        <v>45587</v>
      </c>
      <c r="B88" s="17"/>
      <c r="C88" s="17" t="s">
        <v>18</v>
      </c>
      <c r="D88" s="17" t="s">
        <v>28</v>
      </c>
      <c r="E88" s="17" t="s">
        <v>29</v>
      </c>
      <c r="F88" s="17" t="s">
        <v>30</v>
      </c>
      <c r="G88" s="17"/>
      <c r="H88" s="18">
        <v>0</v>
      </c>
      <c r="I88" s="18">
        <v>11200.0800</v>
      </c>
      <c r="J88" s="18">
        <f ca="1">((J87 + H88) - I88)</f>
        <v>0</v>
      </c>
      <c r="K88" s="18">
        <v>0</v>
      </c>
      <c r="L88" s="19">
        <v>0</v>
      </c>
      <c r="M88" s="17"/>
    </row>
    <row r="89" ht="10.95" customHeight="true" customFormat="true" s="9">
      <c r="A89" s="16">
        <v>45593</v>
      </c>
      <c r="B89" s="17"/>
      <c r="C89" s="17" t="s">
        <v>18</v>
      </c>
      <c r="D89" s="17" t="s">
        <v>28</v>
      </c>
      <c r="E89" s="17" t="s">
        <v>36</v>
      </c>
      <c r="F89" s="17" t="s">
        <v>37</v>
      </c>
      <c r="G89" s="17" t="s">
        <v>38</v>
      </c>
      <c r="H89" s="18">
        <v>0</v>
      </c>
      <c r="I89" s="18">
        <v>1934.5900</v>
      </c>
      <c r="J89" s="18">
        <f ca="1">((J88 + H89) - I89)</f>
        <v>0</v>
      </c>
      <c r="K89" s="18">
        <v>0</v>
      </c>
      <c r="L89" s="19">
        <v>0</v>
      </c>
      <c r="M89" s="17"/>
    </row>
    <row r="90" ht="10.95" customHeight="true" customFormat="true" s="9">
      <c r="A90" s="16">
        <v>45594</v>
      </c>
      <c r="B90" s="17"/>
      <c r="C90" s="17" t="s">
        <v>18</v>
      </c>
      <c r="D90" s="17" t="s">
        <v>28</v>
      </c>
      <c r="E90" s="17" t="s">
        <v>20</v>
      </c>
      <c r="F90" s="17" t="s">
        <v>22</v>
      </c>
      <c r="G90" s="17"/>
      <c r="H90" s="18">
        <v>83368.0700</v>
      </c>
      <c r="I90" s="18">
        <v>0</v>
      </c>
      <c r="J90" s="18">
        <f ca="1">((J89 + H90) - I90)</f>
        <v>0</v>
      </c>
      <c r="K90" s="18">
        <v>0</v>
      </c>
      <c r="L90" s="19">
        <v>0</v>
      </c>
      <c r="M90" s="17"/>
    </row>
    <row r="91" ht="10.95" customHeight="true" customFormat="true" s="9">
      <c r="A91" s="16">
        <v>45594</v>
      </c>
      <c r="B91" s="17"/>
      <c r="C91" s="17" t="s">
        <v>18</v>
      </c>
      <c r="D91" s="17" t="s">
        <v>28</v>
      </c>
      <c r="E91" s="17" t="s">
        <v>29</v>
      </c>
      <c r="F91" s="17" t="s">
        <v>34</v>
      </c>
      <c r="G91" s="17"/>
      <c r="H91" s="18">
        <v>0</v>
      </c>
      <c r="I91" s="18">
        <v>7013.0000</v>
      </c>
      <c r="J91" s="18">
        <f ca="1">((J90 + H91) - I91)</f>
        <v>0</v>
      </c>
      <c r="K91" s="18">
        <v>0</v>
      </c>
      <c r="L91" s="19">
        <v>0</v>
      </c>
      <c r="M91" s="17"/>
    </row>
    <row r="92" ht="10.95" customHeight="true" customFormat="true" s="9">
      <c r="A92" s="16">
        <v>45594</v>
      </c>
      <c r="B92" s="17"/>
      <c r="C92" s="17" t="s">
        <v>18</v>
      </c>
      <c r="D92" s="17" t="s">
        <v>28</v>
      </c>
      <c r="E92" s="17" t="s">
        <v>29</v>
      </c>
      <c r="F92" s="17" t="s">
        <v>32</v>
      </c>
      <c r="G92" s="17"/>
      <c r="H92" s="18">
        <v>0</v>
      </c>
      <c r="I92" s="18">
        <v>22051.6100</v>
      </c>
      <c r="J92" s="18">
        <f ca="1">((J91 + H92) - I92)</f>
        <v>0</v>
      </c>
      <c r="K92" s="18">
        <v>0</v>
      </c>
      <c r="L92" s="19">
        <v>0</v>
      </c>
      <c r="M92" s="17"/>
    </row>
    <row r="93" ht="10.95" customHeight="true" customFormat="true" s="9">
      <c r="A93" s="16">
        <v>45594</v>
      </c>
      <c r="B93" s="17"/>
      <c r="C93" s="17" t="s">
        <v>18</v>
      </c>
      <c r="D93" s="17" t="s">
        <v>28</v>
      </c>
      <c r="E93" s="17" t="s">
        <v>29</v>
      </c>
      <c r="F93" s="17" t="s">
        <v>33</v>
      </c>
      <c r="G93" s="17"/>
      <c r="H93" s="18">
        <v>0</v>
      </c>
      <c r="I93" s="18">
        <v>6805.2500</v>
      </c>
      <c r="J93" s="18">
        <f ca="1">((J92 + H93) - I93)</f>
        <v>0</v>
      </c>
      <c r="K93" s="18">
        <v>0</v>
      </c>
      <c r="L93" s="19">
        <v>0</v>
      </c>
      <c r="M93" s="17"/>
    </row>
    <row r="94" ht="10.95" customHeight="true" customFormat="true" s="9">
      <c r="A94" s="16">
        <v>45594</v>
      </c>
      <c r="B94" s="17"/>
      <c r="C94" s="17" t="s">
        <v>18</v>
      </c>
      <c r="D94" s="17" t="s">
        <v>28</v>
      </c>
      <c r="E94" s="17" t="s">
        <v>36</v>
      </c>
      <c r="F94" s="17" t="s">
        <v>43</v>
      </c>
      <c r="G94" s="17" t="s">
        <v>58</v>
      </c>
      <c r="H94" s="18">
        <v>0</v>
      </c>
      <c r="I94" s="18">
        <v>2750.0000</v>
      </c>
      <c r="J94" s="18">
        <f ca="1">((J93 + H94) - I94)</f>
        <v>0</v>
      </c>
      <c r="K94" s="18">
        <v>0</v>
      </c>
      <c r="L94" s="19">
        <v>0</v>
      </c>
      <c r="M94" s="17"/>
    </row>
    <row r="95" ht="10.95" customHeight="true" customFormat="true" s="9">
      <c r="A95" s="16">
        <v>45594</v>
      </c>
      <c r="B95" s="17"/>
      <c r="C95" s="17" t="s">
        <v>18</v>
      </c>
      <c r="D95" s="17" t="s">
        <v>28</v>
      </c>
      <c r="E95" s="17" t="s">
        <v>36</v>
      </c>
      <c r="F95" s="17" t="s">
        <v>59</v>
      </c>
      <c r="G95" s="17" t="s">
        <v>60</v>
      </c>
      <c r="H95" s="18">
        <v>0</v>
      </c>
      <c r="I95" s="18">
        <v>5936.9600</v>
      </c>
      <c r="J95" s="18">
        <f ca="1">((J94 + H95) - I95)</f>
        <v>0</v>
      </c>
      <c r="K95" s="18">
        <v>0</v>
      </c>
      <c r="L95" s="19">
        <v>0</v>
      </c>
      <c r="M95" s="17"/>
    </row>
    <row r="96" ht="10.95" customHeight="true" customFormat="true" s="9">
      <c r="A96" s="16">
        <v>45600</v>
      </c>
      <c r="B96" s="17"/>
      <c r="C96" s="17" t="s">
        <v>18</v>
      </c>
      <c r="D96" s="17" t="s">
        <v>28</v>
      </c>
      <c r="E96" s="17" t="s">
        <v>36</v>
      </c>
      <c r="F96" s="17" t="s">
        <v>43</v>
      </c>
      <c r="G96" s="17" t="s">
        <v>61</v>
      </c>
      <c r="H96" s="18">
        <v>0</v>
      </c>
      <c r="I96" s="18">
        <v>2750.0000</v>
      </c>
      <c r="J96" s="18">
        <f ca="1">((J95 + H96) - I96)</f>
        <v>0</v>
      </c>
      <c r="K96" s="18">
        <v>0</v>
      </c>
      <c r="L96" s="19">
        <v>0</v>
      </c>
      <c r="M96" s="17"/>
    </row>
    <row r="97" ht="10.95" customHeight="true" customFormat="true" s="9">
      <c r="A97" s="16">
        <v>45600</v>
      </c>
      <c r="B97" s="17"/>
      <c r="C97" s="17" t="s">
        <v>18</v>
      </c>
      <c r="D97" s="17" t="s">
        <v>28</v>
      </c>
      <c r="E97" s="17" t="s">
        <v>29</v>
      </c>
      <c r="F97" s="17" t="s">
        <v>30</v>
      </c>
      <c r="G97" s="17"/>
      <c r="H97" s="18">
        <v>0</v>
      </c>
      <c r="I97" s="18">
        <v>5264.0000</v>
      </c>
      <c r="J97" s="18">
        <f ca="1">((J96 + H97) - I97)</f>
        <v>0</v>
      </c>
      <c r="K97" s="18">
        <v>0</v>
      </c>
      <c r="L97" s="19">
        <v>0</v>
      </c>
      <c r="M97" s="17"/>
    </row>
    <row r="98" ht="10.95" customHeight="true" customFormat="true" s="9">
      <c r="A98" s="16">
        <v>45615</v>
      </c>
      <c r="B98" s="17"/>
      <c r="C98" s="17" t="s">
        <v>18</v>
      </c>
      <c r="D98" s="17" t="s">
        <v>28</v>
      </c>
      <c r="E98" s="17" t="s">
        <v>29</v>
      </c>
      <c r="F98" s="17" t="s">
        <v>30</v>
      </c>
      <c r="G98" s="17"/>
      <c r="H98" s="18">
        <v>0</v>
      </c>
      <c r="I98" s="18">
        <v>19630.0000</v>
      </c>
      <c r="J98" s="18">
        <f ca="1">((J97 + H98) - I98)</f>
        <v>0</v>
      </c>
      <c r="K98" s="18">
        <v>0</v>
      </c>
      <c r="L98" s="19">
        <v>0</v>
      </c>
      <c r="M98" s="17"/>
    </row>
    <row r="99" ht="10.95" customHeight="true" customFormat="true" s="9">
      <c r="A99" s="16">
        <v>45616</v>
      </c>
      <c r="B99" s="17"/>
      <c r="C99" s="17" t="s">
        <v>18</v>
      </c>
      <c r="D99" s="17" t="s">
        <v>28</v>
      </c>
      <c r="E99" s="17" t="s">
        <v>20</v>
      </c>
      <c r="F99" s="17" t="s">
        <v>22</v>
      </c>
      <c r="G99" s="17"/>
      <c r="H99" s="18">
        <v>38345.3800</v>
      </c>
      <c r="I99" s="18">
        <v>0</v>
      </c>
      <c r="J99" s="18">
        <f ca="1">((J98 + H99) - I99)</f>
        <v>0</v>
      </c>
      <c r="K99" s="18">
        <v>0</v>
      </c>
      <c r="L99" s="19">
        <v>0</v>
      </c>
      <c r="M99" s="17"/>
    </row>
    <row r="100" ht="10.95" customHeight="true" customFormat="true" s="9">
      <c r="A100" s="16">
        <v>45616</v>
      </c>
      <c r="B100" s="17"/>
      <c r="C100" s="17" t="s">
        <v>18</v>
      </c>
      <c r="D100" s="17" t="s">
        <v>28</v>
      </c>
      <c r="E100" s="17" t="s">
        <v>29</v>
      </c>
      <c r="F100" s="17" t="s">
        <v>34</v>
      </c>
      <c r="G100" s="17"/>
      <c r="H100" s="18">
        <v>0</v>
      </c>
      <c r="I100" s="18">
        <v>4930.0000</v>
      </c>
      <c r="J100" s="18">
        <f ca="1">((J99 + H100) - I100)</f>
        <v>0</v>
      </c>
      <c r="K100" s="18">
        <v>0</v>
      </c>
      <c r="L100" s="19">
        <v>0</v>
      </c>
      <c r="M100" s="17"/>
    </row>
    <row r="101" ht="10.95" customHeight="true" customFormat="true" s="9">
      <c r="A101" s="16">
        <v>45616</v>
      </c>
      <c r="B101" s="17"/>
      <c r="C101" s="17" t="s">
        <v>18</v>
      </c>
      <c r="D101" s="17" t="s">
        <v>28</v>
      </c>
      <c r="E101" s="17" t="s">
        <v>29</v>
      </c>
      <c r="F101" s="17" t="s">
        <v>32</v>
      </c>
      <c r="G101" s="17"/>
      <c r="H101" s="18">
        <v>0</v>
      </c>
      <c r="I101" s="18">
        <v>10895.6100</v>
      </c>
      <c r="J101" s="18">
        <f ca="1">((J100 + H101) - I101)</f>
        <v>0</v>
      </c>
      <c r="K101" s="18">
        <v>0</v>
      </c>
      <c r="L101" s="19">
        <v>0</v>
      </c>
      <c r="M101" s="17"/>
    </row>
    <row r="102" ht="10.95" customHeight="true" customFormat="true" s="9">
      <c r="A102" s="16">
        <v>45616</v>
      </c>
      <c r="B102" s="17"/>
      <c r="C102" s="17" t="s">
        <v>18</v>
      </c>
      <c r="D102" s="17" t="s">
        <v>28</v>
      </c>
      <c r="E102" s="17" t="s">
        <v>29</v>
      </c>
      <c r="F102" s="17" t="s">
        <v>33</v>
      </c>
      <c r="G102" s="17"/>
      <c r="H102" s="18">
        <v>0</v>
      </c>
      <c r="I102" s="18">
        <v>4735.2600</v>
      </c>
      <c r="J102" s="18">
        <f ca="1">((J101 + H102) - I102)</f>
        <v>0</v>
      </c>
      <c r="K102" s="18">
        <v>0</v>
      </c>
      <c r="L102" s="19">
        <v>0</v>
      </c>
      <c r="M102" s="17"/>
    </row>
    <row r="103" ht="10.95" customHeight="true" customFormat="true" s="9">
      <c r="A103" s="16">
        <v>45624</v>
      </c>
      <c r="B103" s="17"/>
      <c r="C103" s="17" t="s">
        <v>18</v>
      </c>
      <c r="D103" s="17" t="s">
        <v>28</v>
      </c>
      <c r="E103" s="17" t="s">
        <v>36</v>
      </c>
      <c r="F103" s="17" t="s">
        <v>37</v>
      </c>
      <c r="G103" s="17" t="s">
        <v>38</v>
      </c>
      <c r="H103" s="18">
        <v>0</v>
      </c>
      <c r="I103" s="18">
        <v>1934.5900</v>
      </c>
      <c r="J103" s="18">
        <f ca="1">((J102 + H103) - I103)</f>
        <v>0</v>
      </c>
      <c r="K103" s="18">
        <v>0</v>
      </c>
      <c r="L103" s="19">
        <v>0</v>
      </c>
      <c r="M103" s="17"/>
    </row>
    <row r="104" ht="10.95" customHeight="true" customFormat="true" s="9">
      <c r="A104" s="16">
        <v>45629</v>
      </c>
      <c r="B104" s="17"/>
      <c r="C104" s="17" t="s">
        <v>18</v>
      </c>
      <c r="D104" s="17" t="s">
        <v>28</v>
      </c>
      <c r="E104" s="17" t="s">
        <v>29</v>
      </c>
      <c r="F104" s="17" t="s">
        <v>40</v>
      </c>
      <c r="G104" s="17"/>
      <c r="H104" s="18">
        <v>0</v>
      </c>
      <c r="I104" s="18">
        <v>7050.0000</v>
      </c>
      <c r="J104" s="18">
        <f ca="1">((J103 + H104) - I104)</f>
        <v>0</v>
      </c>
      <c r="K104" s="18">
        <v>0</v>
      </c>
      <c r="L104" s="19">
        <v>0</v>
      </c>
      <c r="M104" s="17"/>
    </row>
    <row r="105" ht="10.95" customHeight="true" customFormat="true" s="9">
      <c r="A105" s="16">
        <v>45644</v>
      </c>
      <c r="B105" s="17"/>
      <c r="C105" s="17" t="s">
        <v>18</v>
      </c>
      <c r="D105" s="17" t="s">
        <v>28</v>
      </c>
      <c r="E105" s="17" t="s">
        <v>20</v>
      </c>
      <c r="F105" s="17" t="s">
        <v>22</v>
      </c>
      <c r="G105" s="17"/>
      <c r="H105" s="18">
        <v>39517.8800</v>
      </c>
      <c r="I105" s="18">
        <v>0</v>
      </c>
      <c r="J105" s="18">
        <f ca="1">((J104 + H105) - I105)</f>
        <v>0</v>
      </c>
      <c r="K105" s="18">
        <v>0</v>
      </c>
      <c r="L105" s="19">
        <v>0</v>
      </c>
      <c r="M105" s="17"/>
    </row>
    <row r="106" ht="10.95" customHeight="true" customFormat="true" s="9">
      <c r="A106" s="16">
        <v>45644</v>
      </c>
      <c r="B106" s="17"/>
      <c r="C106" s="17" t="s">
        <v>18</v>
      </c>
      <c r="D106" s="17" t="s">
        <v>28</v>
      </c>
      <c r="E106" s="17" t="s">
        <v>36</v>
      </c>
      <c r="F106" s="17" t="s">
        <v>43</v>
      </c>
      <c r="G106" s="17" t="s">
        <v>62</v>
      </c>
      <c r="H106" s="18">
        <v>0</v>
      </c>
      <c r="I106" s="18">
        <v>2750.0000</v>
      </c>
      <c r="J106" s="18">
        <f ca="1">((J105 + H106) - I106)</f>
        <v>0</v>
      </c>
      <c r="K106" s="18">
        <v>0</v>
      </c>
      <c r="L106" s="19">
        <v>0</v>
      </c>
      <c r="M106" s="17"/>
    </row>
    <row r="107" ht="10.95" customHeight="true" customFormat="true" s="9">
      <c r="A107" s="16">
        <v>45649</v>
      </c>
      <c r="B107" s="17"/>
      <c r="C107" s="17" t="s">
        <v>18</v>
      </c>
      <c r="D107" s="17" t="s">
        <v>28</v>
      </c>
      <c r="E107" s="17" t="s">
        <v>29</v>
      </c>
      <c r="F107" s="17" t="s">
        <v>33</v>
      </c>
      <c r="G107" s="17"/>
      <c r="H107" s="18">
        <v>0</v>
      </c>
      <c r="I107" s="18">
        <v>4735.2400</v>
      </c>
      <c r="J107" s="18">
        <f ca="1">((J106 + H107) - I107)</f>
        <v>0</v>
      </c>
      <c r="K107" s="18">
        <v>0</v>
      </c>
      <c r="L107" s="19">
        <v>0</v>
      </c>
      <c r="M107" s="17"/>
    </row>
    <row r="108" ht="10.95" customHeight="true" customFormat="true" s="9">
      <c r="A108" s="16">
        <v>45649</v>
      </c>
      <c r="B108" s="17"/>
      <c r="C108" s="17" t="s">
        <v>18</v>
      </c>
      <c r="D108" s="17" t="s">
        <v>28</v>
      </c>
      <c r="E108" s="17" t="s">
        <v>29</v>
      </c>
      <c r="F108" s="17" t="s">
        <v>34</v>
      </c>
      <c r="G108" s="17"/>
      <c r="H108" s="18">
        <v>0</v>
      </c>
      <c r="I108" s="18">
        <v>4930.0000</v>
      </c>
      <c r="J108" s="18">
        <f ca="1">((J107 + H108) - I108)</f>
        <v>0</v>
      </c>
      <c r="K108" s="18">
        <v>0</v>
      </c>
      <c r="L108" s="19">
        <v>0</v>
      </c>
      <c r="M108" s="17"/>
    </row>
    <row r="109" ht="10.95" customHeight="true" customFormat="true" s="9">
      <c r="A109" s="16">
        <v>45649</v>
      </c>
      <c r="B109" s="17"/>
      <c r="C109" s="17" t="s">
        <v>18</v>
      </c>
      <c r="D109" s="17" t="s">
        <v>28</v>
      </c>
      <c r="E109" s="17" t="s">
        <v>29</v>
      </c>
      <c r="F109" s="17" t="s">
        <v>32</v>
      </c>
      <c r="G109" s="17"/>
      <c r="H109" s="18">
        <v>0</v>
      </c>
      <c r="I109" s="18">
        <v>12079.4800</v>
      </c>
      <c r="J109" s="18">
        <f ca="1">((J108 + H109) - I109)</f>
        <v>0</v>
      </c>
      <c r="K109" s="18">
        <v>0</v>
      </c>
      <c r="L109" s="19">
        <v>0</v>
      </c>
      <c r="M109" s="17"/>
    </row>
    <row r="110" ht="10.95" customHeight="true" customFormat="true" s="9">
      <c r="A110" s="16">
        <v>45654</v>
      </c>
      <c r="B110" s="17"/>
      <c r="C110" s="17" t="s">
        <v>18</v>
      </c>
      <c r="D110" s="17" t="s">
        <v>28</v>
      </c>
      <c r="E110" s="17" t="s">
        <v>36</v>
      </c>
      <c r="F110" s="17" t="s">
        <v>37</v>
      </c>
      <c r="G110" s="17" t="s">
        <v>38</v>
      </c>
      <c r="H110" s="18">
        <v>0</v>
      </c>
      <c r="I110" s="18">
        <v>1934.5900</v>
      </c>
      <c r="J110" s="18">
        <f ca="1">((J109 + H110) - I110)</f>
        <v>0</v>
      </c>
      <c r="K110" s="18">
        <v>0</v>
      </c>
      <c r="L110" s="19">
        <v>0</v>
      </c>
      <c r="M110" s="17"/>
    </row>
    <row r="111" ht="10.95" customHeight="true" customFormat="true" s="9">
      <c r="A111" s="16">
        <v>45680</v>
      </c>
      <c r="B111" s="17"/>
      <c r="C111" s="17" t="s">
        <v>18</v>
      </c>
      <c r="D111" s="17" t="s">
        <v>28</v>
      </c>
      <c r="E111" s="17" t="s">
        <v>29</v>
      </c>
      <c r="F111" s="17" t="s">
        <v>30</v>
      </c>
      <c r="G111" s="17"/>
      <c r="H111" s="18">
        <v>0</v>
      </c>
      <c r="I111" s="18">
        <v>12519.0900</v>
      </c>
      <c r="J111" s="18">
        <f ca="1">((J110 + H111) - I111)</f>
        <v>0</v>
      </c>
      <c r="K111" s="18">
        <v>0</v>
      </c>
      <c r="L111" s="19">
        <v>0</v>
      </c>
      <c r="M111" s="17"/>
    </row>
    <row r="112" ht="10.95" customHeight="true" customFormat="true" s="9">
      <c r="A112" s="16">
        <v>45680</v>
      </c>
      <c r="B112" s="17"/>
      <c r="C112" s="17" t="s">
        <v>18</v>
      </c>
      <c r="D112" s="17" t="s">
        <v>28</v>
      </c>
      <c r="E112" s="17" t="s">
        <v>29</v>
      </c>
      <c r="F112" s="17" t="s">
        <v>32</v>
      </c>
      <c r="G112" s="17"/>
      <c r="H112" s="18">
        <v>0</v>
      </c>
      <c r="I112" s="18">
        <v>10895.6200</v>
      </c>
      <c r="J112" s="18">
        <f ca="1">((J111 + H112) - I112)</f>
        <v>0</v>
      </c>
      <c r="K112" s="18">
        <v>0</v>
      </c>
      <c r="L112" s="19">
        <v>0</v>
      </c>
      <c r="M112" s="17"/>
    </row>
    <row r="113" ht="10.95" customHeight="true" customFormat="true" s="9">
      <c r="A113" s="16">
        <v>45680</v>
      </c>
      <c r="B113" s="17"/>
      <c r="C113" s="17" t="s">
        <v>18</v>
      </c>
      <c r="D113" s="17" t="s">
        <v>28</v>
      </c>
      <c r="E113" s="17" t="s">
        <v>29</v>
      </c>
      <c r="F113" s="17" t="s">
        <v>34</v>
      </c>
      <c r="G113" s="17"/>
      <c r="H113" s="18">
        <v>0</v>
      </c>
      <c r="I113" s="18">
        <v>4929.9900</v>
      </c>
      <c r="J113" s="18">
        <f ca="1">((J112 + H113) - I113)</f>
        <v>0</v>
      </c>
      <c r="K113" s="18">
        <v>0</v>
      </c>
      <c r="L113" s="19">
        <v>0</v>
      </c>
      <c r="M113" s="17"/>
    </row>
    <row r="114" ht="10.95" customHeight="true" customFormat="true" s="9">
      <c r="A114" s="16">
        <v>45680</v>
      </c>
      <c r="B114" s="17"/>
      <c r="C114" s="17" t="s">
        <v>18</v>
      </c>
      <c r="D114" s="17" t="s">
        <v>28</v>
      </c>
      <c r="E114" s="17" t="s">
        <v>29</v>
      </c>
      <c r="F114" s="17" t="s">
        <v>33</v>
      </c>
      <c r="G114" s="17"/>
      <c r="H114" s="18">
        <v>0</v>
      </c>
      <c r="I114" s="18">
        <v>4735.2500</v>
      </c>
      <c r="J114" s="18">
        <f ca="1">((J113 + H114) - I114)</f>
        <v>0</v>
      </c>
      <c r="K114" s="18">
        <v>0</v>
      </c>
      <c r="L114" s="19">
        <v>0</v>
      </c>
      <c r="M114" s="17"/>
    </row>
    <row r="115" ht="10.95" customHeight="true" customFormat="true" s="9">
      <c r="A115" s="16">
        <v>45680</v>
      </c>
      <c r="B115" s="17"/>
      <c r="C115" s="17" t="s">
        <v>18</v>
      </c>
      <c r="D115" s="17" t="s">
        <v>28</v>
      </c>
      <c r="E115" s="17" t="s">
        <v>20</v>
      </c>
      <c r="F115" s="17" t="s">
        <v>22</v>
      </c>
      <c r="G115" s="17"/>
      <c r="H115" s="18">
        <v>31767.7600</v>
      </c>
      <c r="I115" s="18">
        <v>0</v>
      </c>
      <c r="J115" s="18">
        <f ca="1">((J114 + H115) - I115)</f>
        <v>0</v>
      </c>
      <c r="K115" s="18">
        <v>0</v>
      </c>
      <c r="L115" s="19">
        <v>0</v>
      </c>
      <c r="M115" s="17"/>
    </row>
    <row r="116" ht="10.95" customHeight="true" customFormat="true" s="9">
      <c r="A116" s="16">
        <v>45680</v>
      </c>
      <c r="B116" s="17"/>
      <c r="C116" s="17" t="s">
        <v>18</v>
      </c>
      <c r="D116" s="17" t="s">
        <v>28</v>
      </c>
      <c r="E116" s="17" t="s">
        <v>36</v>
      </c>
      <c r="F116" s="17" t="s">
        <v>37</v>
      </c>
      <c r="G116" s="17" t="s">
        <v>38</v>
      </c>
      <c r="H116" s="18">
        <v>0</v>
      </c>
      <c r="I116" s="18">
        <v>1934.5900</v>
      </c>
      <c r="J116" s="18">
        <f ca="1">((J115 + H116) - I116)</f>
        <v>0</v>
      </c>
      <c r="K116" s="18">
        <v>0</v>
      </c>
      <c r="L116" s="19">
        <v>0</v>
      </c>
      <c r="M116" s="17"/>
    </row>
    <row r="117" ht="10.95" customHeight="true" customFormat="true" s="9">
      <c r="A117" s="16">
        <v>45681</v>
      </c>
      <c r="B117" s="17"/>
      <c r="C117" s="17" t="s">
        <v>18</v>
      </c>
      <c r="D117" s="17" t="s">
        <v>28</v>
      </c>
      <c r="E117" s="17" t="s">
        <v>36</v>
      </c>
      <c r="F117" s="17" t="s">
        <v>43</v>
      </c>
      <c r="G117" s="17" t="s">
        <v>63</v>
      </c>
      <c r="H117" s="18">
        <v>0</v>
      </c>
      <c r="I117" s="18">
        <v>2750.0000</v>
      </c>
      <c r="J117" s="18">
        <f ca="1">((J116 + H117) - I117)</f>
        <v>0</v>
      </c>
      <c r="K117" s="18">
        <v>0</v>
      </c>
      <c r="L117" s="19">
        <v>0</v>
      </c>
      <c r="M117" s="17"/>
    </row>
    <row r="118" ht="10.95" customHeight="true" customFormat="true" s="9">
      <c r="A118" s="16">
        <v>45683</v>
      </c>
      <c r="B118" s="17"/>
      <c r="C118" s="17" t="s">
        <v>18</v>
      </c>
      <c r="D118" s="17" t="s">
        <v>28</v>
      </c>
      <c r="E118" s="17" t="s">
        <v>29</v>
      </c>
      <c r="F118" s="17" t="s">
        <v>40</v>
      </c>
      <c r="G118" s="17"/>
      <c r="H118" s="18">
        <v>0</v>
      </c>
      <c r="I118" s="18">
        <v>5648.0000</v>
      </c>
      <c r="J118" s="18">
        <f ca="1">((J117 + H118) - I118)</f>
        <v>0</v>
      </c>
      <c r="K118" s="18">
        <v>0</v>
      </c>
      <c r="L118" s="19">
        <v>0</v>
      </c>
      <c r="M118" s="17"/>
    </row>
    <row r="119" ht="10.95" customHeight="true" customFormat="true" s="9">
      <c r="A119" s="16">
        <v>45707</v>
      </c>
      <c r="B119" s="17"/>
      <c r="C119" s="17" t="s">
        <v>18</v>
      </c>
      <c r="D119" s="17" t="s">
        <v>28</v>
      </c>
      <c r="E119" s="17" t="s">
        <v>29</v>
      </c>
      <c r="F119" s="17" t="s">
        <v>40</v>
      </c>
      <c r="G119" s="17"/>
      <c r="H119" s="18">
        <v>0</v>
      </c>
      <c r="I119" s="18">
        <v>7050.0000</v>
      </c>
      <c r="J119" s="18">
        <f ca="1">((J118 + H119) - I119)</f>
        <v>0</v>
      </c>
      <c r="K119" s="18">
        <v>0</v>
      </c>
      <c r="L119" s="19">
        <v>0</v>
      </c>
      <c r="M119" s="17"/>
    </row>
    <row r="120" ht="10.95" customHeight="true" customFormat="true" s="9">
      <c r="A120" s="16">
        <v>45712</v>
      </c>
      <c r="B120" s="17"/>
      <c r="C120" s="17" t="s">
        <v>18</v>
      </c>
      <c r="D120" s="17" t="s">
        <v>28</v>
      </c>
      <c r="E120" s="17" t="s">
        <v>36</v>
      </c>
      <c r="F120" s="17" t="s">
        <v>64</v>
      </c>
      <c r="G120" s="17" t="s">
        <v>65</v>
      </c>
      <c r="H120" s="18">
        <v>0</v>
      </c>
      <c r="I120" s="18">
        <v>1135.9000</v>
      </c>
      <c r="J120" s="18">
        <f ca="1">((J119 + H120) - I120)</f>
        <v>0</v>
      </c>
      <c r="K120" s="18">
        <v>0</v>
      </c>
      <c r="L120" s="19">
        <v>0</v>
      </c>
      <c r="M120" s="17"/>
    </row>
    <row r="121" ht="10.95" customHeight="true" customFormat="true" s="9">
      <c r="A121" s="16">
        <v>45713</v>
      </c>
      <c r="B121" s="17"/>
      <c r="C121" s="17" t="s">
        <v>18</v>
      </c>
      <c r="D121" s="17" t="s">
        <v>28</v>
      </c>
      <c r="E121" s="17" t="s">
        <v>29</v>
      </c>
      <c r="F121" s="17" t="s">
        <v>33</v>
      </c>
      <c r="G121" s="17"/>
      <c r="H121" s="18">
        <v>0</v>
      </c>
      <c r="I121" s="18">
        <v>4735.2500</v>
      </c>
      <c r="J121" s="18">
        <f ca="1">((J120 + H121) - I121)</f>
        <v>0</v>
      </c>
      <c r="K121" s="18">
        <v>0</v>
      </c>
      <c r="L121" s="19">
        <v>0</v>
      </c>
      <c r="M121" s="17"/>
    </row>
    <row r="122" ht="10.95" customHeight="true" customFormat="true" s="9">
      <c r="A122" s="16">
        <v>45713</v>
      </c>
      <c r="B122" s="17"/>
      <c r="C122" s="17" t="s">
        <v>18</v>
      </c>
      <c r="D122" s="17" t="s">
        <v>28</v>
      </c>
      <c r="E122" s="17" t="s">
        <v>29</v>
      </c>
      <c r="F122" s="17" t="s">
        <v>34</v>
      </c>
      <c r="G122" s="17"/>
      <c r="H122" s="18">
        <v>0</v>
      </c>
      <c r="I122" s="18">
        <v>4930.0000</v>
      </c>
      <c r="J122" s="18">
        <f ca="1">((J121 + H122) - I122)</f>
        <v>0</v>
      </c>
      <c r="K122" s="18">
        <v>0</v>
      </c>
      <c r="L122" s="19">
        <v>0</v>
      </c>
      <c r="M122" s="17"/>
    </row>
    <row r="123" ht="10.95" customHeight="true" customFormat="true" s="9">
      <c r="A123" s="16">
        <v>45713</v>
      </c>
      <c r="B123" s="17"/>
      <c r="C123" s="17" t="s">
        <v>18</v>
      </c>
      <c r="D123" s="17" t="s">
        <v>28</v>
      </c>
      <c r="E123" s="17" t="s">
        <v>29</v>
      </c>
      <c r="F123" s="17" t="s">
        <v>32</v>
      </c>
      <c r="G123" s="17"/>
      <c r="H123" s="18">
        <v>0</v>
      </c>
      <c r="I123" s="18">
        <v>10785.5200</v>
      </c>
      <c r="J123" s="18">
        <f ca="1">((J122 + H123) - I123)</f>
        <v>0</v>
      </c>
      <c r="K123" s="18">
        <v>0</v>
      </c>
      <c r="L123" s="19">
        <v>0</v>
      </c>
      <c r="M123" s="17"/>
    </row>
    <row r="124" ht="10.95" customHeight="true" customFormat="true" s="9">
      <c r="A124" s="16">
        <v>45713</v>
      </c>
      <c r="B124" s="17"/>
      <c r="C124" s="17" t="s">
        <v>18</v>
      </c>
      <c r="D124" s="17" t="s">
        <v>28</v>
      </c>
      <c r="E124" s="17" t="s">
        <v>20</v>
      </c>
      <c r="F124" s="17" t="s">
        <v>41</v>
      </c>
      <c r="G124" s="17"/>
      <c r="H124" s="18">
        <v>39235.9400</v>
      </c>
      <c r="I124" s="18">
        <v>0</v>
      </c>
      <c r="J124" s="18">
        <f ca="1">((J123 + H124) - I124)</f>
        <v>0</v>
      </c>
      <c r="K124" s="18">
        <v>0</v>
      </c>
      <c r="L124" s="19">
        <v>0</v>
      </c>
      <c r="M124" s="17"/>
    </row>
    <row r="125" ht="10.95" customHeight="true" customFormat="true" s="9">
      <c r="A125" s="16">
        <v>45714</v>
      </c>
      <c r="B125" s="17"/>
      <c r="C125" s="17" t="s">
        <v>18</v>
      </c>
      <c r="D125" s="17" t="s">
        <v>28</v>
      </c>
      <c r="E125" s="17" t="s">
        <v>36</v>
      </c>
      <c r="F125" s="17" t="s">
        <v>37</v>
      </c>
      <c r="G125" s="17" t="s">
        <v>38</v>
      </c>
      <c r="H125" s="18">
        <v>0</v>
      </c>
      <c r="I125" s="18">
        <v>2135.9800</v>
      </c>
      <c r="J125" s="18">
        <f ca="1">((J124 + H125) - I125)</f>
        <v>0</v>
      </c>
      <c r="K125" s="18">
        <v>0</v>
      </c>
      <c r="L125" s="19">
        <v>0</v>
      </c>
      <c r="M125" s="17"/>
    </row>
    <row r="126" ht="10.95" customHeight="true" customFormat="true" s="9">
      <c r="A126" s="16">
        <v>45714</v>
      </c>
      <c r="B126" s="17"/>
      <c r="C126" s="17" t="s">
        <v>18</v>
      </c>
      <c r="D126" s="17" t="s">
        <v>28</v>
      </c>
      <c r="E126" s="17" t="s">
        <v>36</v>
      </c>
      <c r="F126" s="17" t="s">
        <v>43</v>
      </c>
      <c r="G126" s="17" t="s">
        <v>66</v>
      </c>
      <c r="H126" s="18">
        <v>0</v>
      </c>
      <c r="I126" s="18">
        <v>2750.0000</v>
      </c>
      <c r="J126" s="18">
        <f ca="1">((J125 + H126) - I126)</f>
        <v>0</v>
      </c>
      <c r="K126" s="18">
        <v>0</v>
      </c>
      <c r="L126" s="19">
        <v>0</v>
      </c>
      <c r="M126" s="17"/>
    </row>
    <row r="127" ht="10.95" customHeight="true" customFormat="true" s="9">
      <c r="A127" s="16">
        <v>45733</v>
      </c>
      <c r="B127" s="17"/>
      <c r="C127" s="17" t="s">
        <v>18</v>
      </c>
      <c r="D127" s="17" t="s">
        <v>28</v>
      </c>
      <c r="E127" s="17" t="s">
        <v>29</v>
      </c>
      <c r="F127" s="17" t="s">
        <v>40</v>
      </c>
      <c r="G127" s="17"/>
      <c r="H127" s="18">
        <v>0</v>
      </c>
      <c r="I127" s="18">
        <v>6977.0000</v>
      </c>
      <c r="J127" s="18">
        <f ca="1">((J126 + H127) - I127)</f>
        <v>0</v>
      </c>
      <c r="K127" s="18">
        <v>0</v>
      </c>
      <c r="L127" s="19">
        <v>0</v>
      </c>
      <c r="M127" s="17"/>
    </row>
    <row r="128" ht="10.95" customHeight="true" customFormat="true" s="9">
      <c r="A128" s="16">
        <v>45740</v>
      </c>
      <c r="B128" s="17"/>
      <c r="C128" s="17" t="s">
        <v>18</v>
      </c>
      <c r="D128" s="17" t="s">
        <v>28</v>
      </c>
      <c r="E128" s="17" t="s">
        <v>20</v>
      </c>
      <c r="F128" s="17" t="s">
        <v>22</v>
      </c>
      <c r="G128" s="17"/>
      <c r="H128" s="18">
        <v>63463.2500</v>
      </c>
      <c r="I128" s="18">
        <v>0</v>
      </c>
      <c r="J128" s="18">
        <f ca="1">((J127 + H128) - I128)</f>
        <v>0</v>
      </c>
      <c r="K128" s="18">
        <v>0</v>
      </c>
      <c r="L128" s="19">
        <v>0</v>
      </c>
      <c r="M128" s="17"/>
    </row>
    <row r="129" ht="10.95" customHeight="true" customFormat="true" s="9">
      <c r="A129" s="16">
        <v>45742</v>
      </c>
      <c r="B129" s="17"/>
      <c r="C129" s="17" t="s">
        <v>18</v>
      </c>
      <c r="D129" s="17" t="s">
        <v>28</v>
      </c>
      <c r="E129" s="17" t="s">
        <v>36</v>
      </c>
      <c r="F129" s="17" t="s">
        <v>37</v>
      </c>
      <c r="G129" s="17" t="s">
        <v>38</v>
      </c>
      <c r="H129" s="18">
        <v>0</v>
      </c>
      <c r="I129" s="18">
        <v>2135.9800</v>
      </c>
      <c r="J129" s="18">
        <f ca="1">((J128 + H129) - I129)</f>
        <v>0</v>
      </c>
      <c r="K129" s="18">
        <v>0</v>
      </c>
      <c r="L129" s="19">
        <v>0</v>
      </c>
      <c r="M129" s="17"/>
    </row>
    <row r="130" ht="10.95" customHeight="true" customFormat="true" s="9">
      <c r="A130" s="16">
        <v>45742</v>
      </c>
      <c r="B130" s="17"/>
      <c r="C130" s="17" t="s">
        <v>18</v>
      </c>
      <c r="D130" s="17" t="s">
        <v>28</v>
      </c>
      <c r="E130" s="17" t="s">
        <v>29</v>
      </c>
      <c r="F130" s="17" t="s">
        <v>33</v>
      </c>
      <c r="G130" s="17"/>
      <c r="H130" s="18">
        <v>0</v>
      </c>
      <c r="I130" s="18">
        <v>6366.2600</v>
      </c>
      <c r="J130" s="18">
        <f ca="1">((J129 + H130) - I130)</f>
        <v>0</v>
      </c>
      <c r="K130" s="18">
        <v>0</v>
      </c>
      <c r="L130" s="19">
        <v>0</v>
      </c>
      <c r="M130" s="17"/>
    </row>
    <row r="131" ht="10.95" customHeight="true" customFormat="true" s="9">
      <c r="A131" s="16">
        <v>45742</v>
      </c>
      <c r="B131" s="17"/>
      <c r="C131" s="17" t="s">
        <v>18</v>
      </c>
      <c r="D131" s="17" t="s">
        <v>28</v>
      </c>
      <c r="E131" s="17" t="s">
        <v>29</v>
      </c>
      <c r="F131" s="17" t="s">
        <v>34</v>
      </c>
      <c r="G131" s="17"/>
      <c r="H131" s="18">
        <v>0</v>
      </c>
      <c r="I131" s="18">
        <v>6564.0000</v>
      </c>
      <c r="J131" s="18">
        <f ca="1">((J130 + H131) - I131)</f>
        <v>0</v>
      </c>
      <c r="K131" s="18">
        <v>0</v>
      </c>
      <c r="L131" s="19">
        <v>0</v>
      </c>
      <c r="M131" s="17"/>
    </row>
    <row r="132" ht="10.95" customHeight="true" customFormat="true" s="9">
      <c r="A132" s="16">
        <v>45742</v>
      </c>
      <c r="B132" s="17"/>
      <c r="C132" s="17" t="s">
        <v>18</v>
      </c>
      <c r="D132" s="17" t="s">
        <v>28</v>
      </c>
      <c r="E132" s="17" t="s">
        <v>29</v>
      </c>
      <c r="F132" s="17" t="s">
        <v>32</v>
      </c>
      <c r="G132" s="17"/>
      <c r="H132" s="18">
        <v>0</v>
      </c>
      <c r="I132" s="18">
        <v>20383.9700</v>
      </c>
      <c r="J132" s="18">
        <f ca="1">((J131 + H132) - I132)</f>
        <v>0</v>
      </c>
      <c r="K132" s="18">
        <v>0</v>
      </c>
      <c r="L132" s="19">
        <v>0</v>
      </c>
      <c r="M132" s="17"/>
    </row>
    <row r="133" ht="10.95" customHeight="true" customFormat="true" s="9">
      <c r="A133" s="20" t="s">
        <v>67</v>
      </c>
      <c r="B133" s="20"/>
      <c r="C133" s="20"/>
      <c r="D133" s="20"/>
      <c r="E133" s="20"/>
      <c r="F133" s="20"/>
      <c r="G133" s="20"/>
      <c r="H133" s="21">
        <f ca="1">SUM(H34:H132)</f>
        <v>0</v>
      </c>
      <c r="I133" s="21">
        <f ca="1">SUM(I34:I132)</f>
        <v>0</v>
      </c>
      <c r="J133" s="21">
        <f ca="1">J132</f>
        <v>0</v>
      </c>
      <c r="K133" s="21">
        <f ca="1">SUM(K34:K132)</f>
        <v>0</v>
      </c>
      <c r="L133" s="20"/>
      <c r="M133" s="20"/>
    </row>
    <row r="134" ht="10.95" customHeight="true" customFormat="true" s="9">
      <c r="A134" s="20" t="s">
        <v>25</v>
      </c>
      <c r="B134" s="20"/>
      <c r="C134" s="20"/>
      <c r="D134" s="20"/>
      <c r="E134" s="20"/>
      <c r="F134" s="20"/>
      <c r="G134" s="20"/>
      <c r="H134" s="21">
        <v>4474.8200</v>
      </c>
      <c r="I134" s="21">
        <v>0</v>
      </c>
      <c r="J134" s="21">
        <v>0</v>
      </c>
      <c r="K134" s="21">
        <v>0</v>
      </c>
      <c r="L134" s="20"/>
      <c r="M134" s="20"/>
    </row>
    <row r="135" ht="10.95" customHeight="true" customFormat="true" s="9">
      <c r="A135" s="10" t="s">
        <v>26</v>
      </c>
      <c r="B135" s="10"/>
      <c r="C135" s="10"/>
      <c r="D135" s="10"/>
      <c r="E135" s="10"/>
      <c r="F135" s="10"/>
      <c r="G135" s="10"/>
      <c r="H135" s="11">
        <v>51814.7000</v>
      </c>
      <c r="I135" s="11">
        <v>0</v>
      </c>
      <c r="J135" s="11">
        <f ca="1">J132</f>
        <v>0</v>
      </c>
      <c r="K135" s="11">
        <v>0</v>
      </c>
      <c r="L135" s="10"/>
      <c r="M135" s="10"/>
    </row>
    <row r="136" ht="13.35" customHeight="true"/>
    <row r="137" ht="12.1" customHeight="true" customFormat="true" s="5">
      <c r="A137" s="8" t="s">
        <v>68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 ht="10.95" customHeight="true" customFormat="true" s="9">
      <c r="A138" s="10" t="s">
        <v>17</v>
      </c>
      <c r="B138" s="10"/>
      <c r="C138" s="10"/>
      <c r="D138" s="10"/>
      <c r="E138" s="10"/>
      <c r="F138" s="10"/>
      <c r="G138" s="10"/>
      <c r="H138" s="11">
        <v>306817.6100</v>
      </c>
      <c r="I138" s="11">
        <v>0</v>
      </c>
      <c r="J138" s="11">
        <f ca="1">(H138 - I138)</f>
        <v>0</v>
      </c>
      <c r="K138" s="11">
        <v>0</v>
      </c>
      <c r="L138" s="10"/>
      <c r="M138" s="10"/>
    </row>
    <row r="139" ht="10.95" customHeight="true" customFormat="true" s="9">
      <c r="A139" s="12">
        <v>45394</v>
      </c>
      <c r="B139" s="13"/>
      <c r="C139" s="13" t="s">
        <v>18</v>
      </c>
      <c r="D139" s="13" t="s">
        <v>69</v>
      </c>
      <c r="E139" s="13" t="s">
        <v>70</v>
      </c>
      <c r="F139" s="13" t="s">
        <v>71</v>
      </c>
      <c r="G139" s="13" t="s">
        <v>72</v>
      </c>
      <c r="H139" s="14">
        <v>256618.0100</v>
      </c>
      <c r="I139" s="14">
        <v>0</v>
      </c>
      <c r="J139" s="14">
        <f ca="1">((J138 + H139) - I139)</f>
        <v>0</v>
      </c>
      <c r="K139" s="14">
        <v>0</v>
      </c>
      <c r="L139" s="15">
        <v>0</v>
      </c>
      <c r="M139" s="13"/>
    </row>
    <row r="140" ht="10.95" customHeight="true" customFormat="true" s="9">
      <c r="A140" s="16">
        <v>45411</v>
      </c>
      <c r="B140" s="17"/>
      <c r="C140" s="17" t="s">
        <v>18</v>
      </c>
      <c r="D140" s="17" t="s">
        <v>69</v>
      </c>
      <c r="E140" s="17" t="s">
        <v>20</v>
      </c>
      <c r="F140" s="17" t="s">
        <v>41</v>
      </c>
      <c r="G140" s="17"/>
      <c r="H140" s="18">
        <v>0</v>
      </c>
      <c r="I140" s="18">
        <v>45628.1400</v>
      </c>
      <c r="J140" s="18">
        <f ca="1">((J139 + H140) - I140)</f>
        <v>0</v>
      </c>
      <c r="K140" s="18">
        <v>0</v>
      </c>
      <c r="L140" s="19">
        <v>0</v>
      </c>
      <c r="M140" s="17"/>
    </row>
    <row r="141" ht="10.95" customHeight="true" customFormat="true" s="9">
      <c r="A141" s="16">
        <v>45412</v>
      </c>
      <c r="B141" s="17"/>
      <c r="C141" s="17" t="s">
        <v>18</v>
      </c>
      <c r="D141" s="17" t="s">
        <v>69</v>
      </c>
      <c r="E141" s="17" t="s">
        <v>29</v>
      </c>
      <c r="F141" s="17" t="s">
        <v>39</v>
      </c>
      <c r="G141" s="17"/>
      <c r="H141" s="18">
        <v>0</v>
      </c>
      <c r="I141" s="18">
        <v>23.6200</v>
      </c>
      <c r="J141" s="18">
        <f ca="1">((J140 + H141) - I141)</f>
        <v>0</v>
      </c>
      <c r="K141" s="18">
        <v>0</v>
      </c>
      <c r="L141" s="19">
        <v>0</v>
      </c>
      <c r="M141" s="17"/>
    </row>
    <row r="142" ht="10.95" customHeight="true" customFormat="true" s="9">
      <c r="A142" s="16">
        <v>45414</v>
      </c>
      <c r="B142" s="17"/>
      <c r="C142" s="17" t="s">
        <v>18</v>
      </c>
      <c r="D142" s="17" t="s">
        <v>69</v>
      </c>
      <c r="E142" s="17" t="s">
        <v>29</v>
      </c>
      <c r="F142" s="17" t="s">
        <v>39</v>
      </c>
      <c r="G142" s="17"/>
      <c r="H142" s="18">
        <v>0</v>
      </c>
      <c r="I142" s="18">
        <v>28.0700</v>
      </c>
      <c r="J142" s="18">
        <f ca="1">((J141 + H142) - I142)</f>
        <v>0</v>
      </c>
      <c r="K142" s="18">
        <v>0</v>
      </c>
      <c r="L142" s="19">
        <v>0</v>
      </c>
      <c r="M142" s="17"/>
    </row>
    <row r="143" ht="10.95" customHeight="true" customFormat="true" s="9">
      <c r="A143" s="16">
        <v>45414</v>
      </c>
      <c r="B143" s="17"/>
      <c r="C143" s="17" t="s">
        <v>18</v>
      </c>
      <c r="D143" s="17" t="s">
        <v>69</v>
      </c>
      <c r="E143" s="17" t="s">
        <v>70</v>
      </c>
      <c r="F143" s="17" t="s">
        <v>71</v>
      </c>
      <c r="G143" s="17" t="s">
        <v>73</v>
      </c>
      <c r="H143" s="18">
        <v>157843.4800</v>
      </c>
      <c r="I143" s="18">
        <v>0</v>
      </c>
      <c r="J143" s="18">
        <f ca="1">((J142 + H143) - I143)</f>
        <v>0</v>
      </c>
      <c r="K143" s="18">
        <v>0</v>
      </c>
      <c r="L143" s="19">
        <v>0</v>
      </c>
      <c r="M143" s="17"/>
    </row>
    <row r="144" ht="10.95" customHeight="true" customFormat="true" s="9">
      <c r="A144" s="16">
        <v>45414</v>
      </c>
      <c r="B144" s="17"/>
      <c r="C144" s="17" t="s">
        <v>18</v>
      </c>
      <c r="D144" s="17" t="s">
        <v>69</v>
      </c>
      <c r="E144" s="17" t="s">
        <v>29</v>
      </c>
      <c r="F144" s="17" t="s">
        <v>39</v>
      </c>
      <c r="G144" s="17"/>
      <c r="H144" s="18">
        <v>0</v>
      </c>
      <c r="I144" s="18">
        <v>12.7600</v>
      </c>
      <c r="J144" s="18">
        <f ca="1">((J143 + H144) - I144)</f>
        <v>0</v>
      </c>
      <c r="K144" s="18">
        <v>0</v>
      </c>
      <c r="L144" s="19">
        <v>0</v>
      </c>
      <c r="M144" s="17"/>
    </row>
    <row r="145" ht="10.95" customHeight="true" customFormat="true" s="9">
      <c r="A145" s="16">
        <v>45414</v>
      </c>
      <c r="B145" s="17"/>
      <c r="C145" s="17" t="s">
        <v>18</v>
      </c>
      <c r="D145" s="17" t="s">
        <v>69</v>
      </c>
      <c r="E145" s="17" t="s">
        <v>70</v>
      </c>
      <c r="F145" s="17" t="s">
        <v>74</v>
      </c>
      <c r="G145" s="17" t="s">
        <v>75</v>
      </c>
      <c r="H145" s="18">
        <v>45940.8200</v>
      </c>
      <c r="I145" s="18">
        <v>0</v>
      </c>
      <c r="J145" s="18">
        <f ca="1">((J144 + H145) - I145)</f>
        <v>0</v>
      </c>
      <c r="K145" s="18">
        <v>0</v>
      </c>
      <c r="L145" s="19">
        <v>0</v>
      </c>
      <c r="M145" s="17"/>
    </row>
    <row r="146" ht="10.95" customHeight="true" customFormat="true" s="9">
      <c r="A146" s="16">
        <v>45429</v>
      </c>
      <c r="B146" s="17"/>
      <c r="C146" s="17" t="s">
        <v>18</v>
      </c>
      <c r="D146" s="17" t="s">
        <v>69</v>
      </c>
      <c r="E146" s="17" t="s">
        <v>29</v>
      </c>
      <c r="F146" s="17" t="s">
        <v>39</v>
      </c>
      <c r="G146" s="17"/>
      <c r="H146" s="18">
        <v>0</v>
      </c>
      <c r="I146" s="18">
        <v>10.6000</v>
      </c>
      <c r="J146" s="18">
        <f ca="1">((J145 + H146) - I146)</f>
        <v>0</v>
      </c>
      <c r="K146" s="18">
        <v>0</v>
      </c>
      <c r="L146" s="19">
        <v>0</v>
      </c>
      <c r="M146" s="17"/>
    </row>
    <row r="147" ht="10.95" customHeight="true" customFormat="true" s="9">
      <c r="A147" s="16">
        <v>45429</v>
      </c>
      <c r="B147" s="17"/>
      <c r="C147" s="17" t="s">
        <v>18</v>
      </c>
      <c r="D147" s="17" t="s">
        <v>69</v>
      </c>
      <c r="E147" s="17" t="s">
        <v>20</v>
      </c>
      <c r="F147" s="17" t="s">
        <v>21</v>
      </c>
      <c r="G147" s="17"/>
      <c r="H147" s="18">
        <v>0</v>
      </c>
      <c r="I147" s="18">
        <v>37527.5100</v>
      </c>
      <c r="J147" s="18">
        <f ca="1">((J146 + H147) - I147)</f>
        <v>0</v>
      </c>
      <c r="K147" s="18">
        <v>0</v>
      </c>
      <c r="L147" s="19">
        <v>0</v>
      </c>
      <c r="M147" s="17"/>
    </row>
    <row r="148" ht="10.95" customHeight="true" customFormat="true" s="9">
      <c r="A148" s="16">
        <v>45432</v>
      </c>
      <c r="B148" s="17"/>
      <c r="C148" s="17" t="s">
        <v>18</v>
      </c>
      <c r="D148" s="17" t="s">
        <v>69</v>
      </c>
      <c r="E148" s="17" t="s">
        <v>36</v>
      </c>
      <c r="F148" s="17" t="s">
        <v>76</v>
      </c>
      <c r="G148" s="17" t="s">
        <v>77</v>
      </c>
      <c r="H148" s="18">
        <v>0</v>
      </c>
      <c r="I148" s="18">
        <v>232523.4000</v>
      </c>
      <c r="J148" s="18">
        <f ca="1">((J147 + H148) - I148)</f>
        <v>0</v>
      </c>
      <c r="K148" s="18">
        <v>0</v>
      </c>
      <c r="L148" s="19">
        <v>0</v>
      </c>
      <c r="M148" s="17"/>
    </row>
    <row r="149" ht="10.95" customHeight="true" customFormat="true" s="9">
      <c r="A149" s="16">
        <v>45432</v>
      </c>
      <c r="B149" s="17"/>
      <c r="C149" s="17" t="s">
        <v>18</v>
      </c>
      <c r="D149" s="17" t="s">
        <v>69</v>
      </c>
      <c r="E149" s="17" t="s">
        <v>36</v>
      </c>
      <c r="F149" s="17" t="s">
        <v>76</v>
      </c>
      <c r="G149" s="17" t="s">
        <v>78</v>
      </c>
      <c r="H149" s="18">
        <v>0</v>
      </c>
      <c r="I149" s="18">
        <v>18000.7200</v>
      </c>
      <c r="J149" s="18">
        <f ca="1">((J148 + H149) - I149)</f>
        <v>0</v>
      </c>
      <c r="K149" s="18">
        <v>0</v>
      </c>
      <c r="L149" s="19">
        <v>0</v>
      </c>
      <c r="M149" s="17"/>
    </row>
    <row r="150" ht="10.95" customHeight="true" customFormat="true" s="9">
      <c r="A150" s="16">
        <v>45432</v>
      </c>
      <c r="B150" s="17"/>
      <c r="C150" s="17" t="s">
        <v>18</v>
      </c>
      <c r="D150" s="17" t="s">
        <v>69</v>
      </c>
      <c r="E150" s="17" t="s">
        <v>36</v>
      </c>
      <c r="F150" s="17" t="s">
        <v>76</v>
      </c>
      <c r="G150" s="17" t="s">
        <v>79</v>
      </c>
      <c r="H150" s="18">
        <v>0</v>
      </c>
      <c r="I150" s="18">
        <v>18000.7200</v>
      </c>
      <c r="J150" s="18">
        <f ca="1">((J149 + H150) - I150)</f>
        <v>0</v>
      </c>
      <c r="K150" s="18">
        <v>0</v>
      </c>
      <c r="L150" s="19">
        <v>0</v>
      </c>
      <c r="M150" s="17"/>
    </row>
    <row r="151" ht="10.95" customHeight="true" customFormat="true" s="9">
      <c r="A151" s="16">
        <v>45432</v>
      </c>
      <c r="B151" s="17"/>
      <c r="C151" s="17" t="s">
        <v>18</v>
      </c>
      <c r="D151" s="17" t="s">
        <v>69</v>
      </c>
      <c r="E151" s="17" t="s">
        <v>36</v>
      </c>
      <c r="F151" s="17" t="s">
        <v>76</v>
      </c>
      <c r="G151" s="17" t="s">
        <v>80</v>
      </c>
      <c r="H151" s="18">
        <v>0</v>
      </c>
      <c r="I151" s="18">
        <v>18000.7200</v>
      </c>
      <c r="J151" s="18">
        <f ca="1">((J150 + H151) - I151)</f>
        <v>0</v>
      </c>
      <c r="K151" s="18">
        <v>0</v>
      </c>
      <c r="L151" s="19">
        <v>0</v>
      </c>
      <c r="M151" s="17"/>
    </row>
    <row r="152" ht="10.95" customHeight="true" customFormat="true" s="9">
      <c r="A152" s="16">
        <v>45443</v>
      </c>
      <c r="B152" s="17"/>
      <c r="C152" s="17" t="s">
        <v>18</v>
      </c>
      <c r="D152" s="17" t="s">
        <v>69</v>
      </c>
      <c r="E152" s="17" t="s">
        <v>70</v>
      </c>
      <c r="F152" s="17" t="s">
        <v>71</v>
      </c>
      <c r="G152" s="17" t="s">
        <v>81</v>
      </c>
      <c r="H152" s="18">
        <v>178152.5100</v>
      </c>
      <c r="I152" s="18">
        <v>0</v>
      </c>
      <c r="J152" s="18">
        <f ca="1">((J151 + H152) - I152)</f>
        <v>0</v>
      </c>
      <c r="K152" s="18">
        <v>0</v>
      </c>
      <c r="L152" s="19">
        <v>0</v>
      </c>
      <c r="M152" s="17"/>
    </row>
    <row r="153" ht="10.95" customHeight="true" customFormat="true" s="9">
      <c r="A153" s="16">
        <v>45443</v>
      </c>
      <c r="B153" s="17"/>
      <c r="C153" s="17" t="s">
        <v>18</v>
      </c>
      <c r="D153" s="17" t="s">
        <v>69</v>
      </c>
      <c r="E153" s="17" t="s">
        <v>29</v>
      </c>
      <c r="F153" s="17" t="s">
        <v>39</v>
      </c>
      <c r="G153" s="17"/>
      <c r="H153" s="18">
        <v>0</v>
      </c>
      <c r="I153" s="18">
        <v>12.4900</v>
      </c>
      <c r="J153" s="18">
        <f ca="1">((J152 + H153) - I153)</f>
        <v>0</v>
      </c>
      <c r="K153" s="18">
        <v>0</v>
      </c>
      <c r="L153" s="19">
        <v>0</v>
      </c>
      <c r="M153" s="17"/>
    </row>
    <row r="154" ht="10.95" customHeight="true" customFormat="true" s="9">
      <c r="A154" s="16">
        <v>45450</v>
      </c>
      <c r="B154" s="17"/>
      <c r="C154" s="17" t="s">
        <v>18</v>
      </c>
      <c r="D154" s="17" t="s">
        <v>69</v>
      </c>
      <c r="E154" s="17" t="s">
        <v>70</v>
      </c>
      <c r="F154" s="17" t="s">
        <v>71</v>
      </c>
      <c r="G154" s="17" t="s">
        <v>82</v>
      </c>
      <c r="H154" s="18">
        <v>155980.8200</v>
      </c>
      <c r="I154" s="18">
        <v>0</v>
      </c>
      <c r="J154" s="18">
        <f ca="1">((J153 + H154) - I154)</f>
        <v>0</v>
      </c>
      <c r="K154" s="18">
        <v>0</v>
      </c>
      <c r="L154" s="19">
        <v>0</v>
      </c>
      <c r="M154" s="17"/>
    </row>
    <row r="155" ht="10.95" customHeight="true" customFormat="true" s="9">
      <c r="A155" s="16">
        <v>45450</v>
      </c>
      <c r="B155" s="17"/>
      <c r="C155" s="17" t="s">
        <v>18</v>
      </c>
      <c r="D155" s="17" t="s">
        <v>69</v>
      </c>
      <c r="E155" s="17" t="s">
        <v>70</v>
      </c>
      <c r="F155" s="17" t="s">
        <v>71</v>
      </c>
      <c r="G155" s="17" t="s">
        <v>83</v>
      </c>
      <c r="H155" s="18">
        <v>168578.7300</v>
      </c>
      <c r="I155" s="18">
        <v>0</v>
      </c>
      <c r="J155" s="18">
        <f ca="1">((J154 + H155) - I155)</f>
        <v>0</v>
      </c>
      <c r="K155" s="18">
        <v>0</v>
      </c>
      <c r="L155" s="19">
        <v>0</v>
      </c>
      <c r="M155" s="17"/>
    </row>
    <row r="156" ht="10.95" customHeight="true" customFormat="true" s="9">
      <c r="A156" s="16">
        <v>45450</v>
      </c>
      <c r="B156" s="17"/>
      <c r="C156" s="17" t="s">
        <v>18</v>
      </c>
      <c r="D156" s="17" t="s">
        <v>69</v>
      </c>
      <c r="E156" s="17" t="s">
        <v>29</v>
      </c>
      <c r="F156" s="17" t="s">
        <v>39</v>
      </c>
      <c r="G156" s="17"/>
      <c r="H156" s="18">
        <v>0</v>
      </c>
      <c r="I156" s="18">
        <v>27.7500</v>
      </c>
      <c r="J156" s="18">
        <f ca="1">((J155 + H156) - I156)</f>
        <v>0</v>
      </c>
      <c r="K156" s="18">
        <v>0</v>
      </c>
      <c r="L156" s="19">
        <v>0</v>
      </c>
      <c r="M156" s="17"/>
    </row>
    <row r="157" ht="10.95" customHeight="true" customFormat="true" s="9">
      <c r="A157" s="16">
        <v>45450</v>
      </c>
      <c r="B157" s="17"/>
      <c r="C157" s="17" t="s">
        <v>18</v>
      </c>
      <c r="D157" s="17" t="s">
        <v>69</v>
      </c>
      <c r="E157" s="17" t="s">
        <v>29</v>
      </c>
      <c r="F157" s="17" t="s">
        <v>39</v>
      </c>
      <c r="G157" s="17"/>
      <c r="H157" s="18">
        <v>0</v>
      </c>
      <c r="I157" s="18">
        <v>12.6200</v>
      </c>
      <c r="J157" s="18">
        <f ca="1">((J156 + H157) - I157)</f>
        <v>0</v>
      </c>
      <c r="K157" s="18">
        <v>0</v>
      </c>
      <c r="L157" s="19">
        <v>0</v>
      </c>
      <c r="M157" s="17"/>
    </row>
    <row r="158" ht="10.95" customHeight="true" customFormat="true" s="9">
      <c r="A158" s="16">
        <v>45450</v>
      </c>
      <c r="B158" s="17"/>
      <c r="C158" s="17" t="s">
        <v>18</v>
      </c>
      <c r="D158" s="17" t="s">
        <v>69</v>
      </c>
      <c r="E158" s="17" t="s">
        <v>47</v>
      </c>
      <c r="F158" s="17" t="s">
        <v>84</v>
      </c>
      <c r="G158" s="17"/>
      <c r="H158" s="18">
        <v>302.4900</v>
      </c>
      <c r="I158" s="18">
        <v>0</v>
      </c>
      <c r="J158" s="18">
        <f ca="1">((J157 + H158) - I158)</f>
        <v>0</v>
      </c>
      <c r="K158" s="18">
        <v>0</v>
      </c>
      <c r="L158" s="19">
        <v>0</v>
      </c>
      <c r="M158" s="17"/>
    </row>
    <row r="159" ht="10.95" customHeight="true" customFormat="true" s="9">
      <c r="A159" s="16">
        <v>45450</v>
      </c>
      <c r="B159" s="17"/>
      <c r="C159" s="17" t="s">
        <v>18</v>
      </c>
      <c r="D159" s="17" t="s">
        <v>69</v>
      </c>
      <c r="E159" s="17" t="s">
        <v>70</v>
      </c>
      <c r="F159" s="17" t="s">
        <v>74</v>
      </c>
      <c r="G159" s="17" t="s">
        <v>85</v>
      </c>
      <c r="H159" s="18">
        <v>45398.6900</v>
      </c>
      <c r="I159" s="18">
        <v>0</v>
      </c>
      <c r="J159" s="18">
        <f ca="1">((J158 + H159) - I159)</f>
        <v>0</v>
      </c>
      <c r="K159" s="18">
        <v>0</v>
      </c>
      <c r="L159" s="19">
        <v>0</v>
      </c>
      <c r="M159" s="17"/>
    </row>
    <row r="160" ht="10.95" customHeight="true" customFormat="true" s="9">
      <c r="A160" s="16">
        <v>45467</v>
      </c>
      <c r="B160" s="17"/>
      <c r="C160" s="17" t="s">
        <v>18</v>
      </c>
      <c r="D160" s="17" t="s">
        <v>69</v>
      </c>
      <c r="E160" s="17" t="s">
        <v>20</v>
      </c>
      <c r="F160" s="17" t="s">
        <v>21</v>
      </c>
      <c r="G160" s="17"/>
      <c r="H160" s="18">
        <v>0</v>
      </c>
      <c r="I160" s="18">
        <v>22570.8200</v>
      </c>
      <c r="J160" s="18">
        <f ca="1">((J159 + H160) - I160)</f>
        <v>0</v>
      </c>
      <c r="K160" s="18">
        <v>0</v>
      </c>
      <c r="L160" s="19">
        <v>0</v>
      </c>
      <c r="M160" s="17"/>
    </row>
    <row r="161" ht="10.95" customHeight="true" customFormat="true" s="9">
      <c r="A161" s="16">
        <v>45467</v>
      </c>
      <c r="B161" s="17"/>
      <c r="C161" s="17" t="s">
        <v>18</v>
      </c>
      <c r="D161" s="17" t="s">
        <v>69</v>
      </c>
      <c r="E161" s="17" t="s">
        <v>29</v>
      </c>
      <c r="F161" s="17" t="s">
        <v>39</v>
      </c>
      <c r="G161" s="17"/>
      <c r="H161" s="18">
        <v>0</v>
      </c>
      <c r="I161" s="18">
        <v>10.6200</v>
      </c>
      <c r="J161" s="18">
        <f ca="1">((J160 + H161) - I161)</f>
        <v>0</v>
      </c>
      <c r="K161" s="18">
        <v>0</v>
      </c>
      <c r="L161" s="19">
        <v>0</v>
      </c>
      <c r="M161" s="17"/>
    </row>
    <row r="162" ht="10.95" customHeight="true" customFormat="true" s="9">
      <c r="A162" s="16">
        <v>45472</v>
      </c>
      <c r="B162" s="17"/>
      <c r="C162" s="17" t="s">
        <v>18</v>
      </c>
      <c r="D162" s="17" t="s">
        <v>69</v>
      </c>
      <c r="E162" s="17" t="s">
        <v>29</v>
      </c>
      <c r="F162" s="17" t="s">
        <v>39</v>
      </c>
      <c r="G162" s="17"/>
      <c r="H162" s="18">
        <v>0</v>
      </c>
      <c r="I162" s="18">
        <v>27.4800</v>
      </c>
      <c r="J162" s="18">
        <f ca="1">((J161 + H162) - I162)</f>
        <v>0</v>
      </c>
      <c r="K162" s="18">
        <v>0</v>
      </c>
      <c r="L162" s="19">
        <v>0</v>
      </c>
      <c r="M162" s="17"/>
    </row>
    <row r="163" ht="10.95" customHeight="true" customFormat="true" s="9">
      <c r="A163" s="16">
        <v>45472</v>
      </c>
      <c r="B163" s="17"/>
      <c r="C163" s="17" t="s">
        <v>18</v>
      </c>
      <c r="D163" s="17" t="s">
        <v>69</v>
      </c>
      <c r="E163" s="17" t="s">
        <v>70</v>
      </c>
      <c r="F163" s="17" t="s">
        <v>74</v>
      </c>
      <c r="G163" s="17" t="s">
        <v>86</v>
      </c>
      <c r="H163" s="18">
        <v>44958.3000</v>
      </c>
      <c r="I163" s="18">
        <v>0</v>
      </c>
      <c r="J163" s="18">
        <f ca="1">((J162 + H163) - I163)</f>
        <v>0</v>
      </c>
      <c r="K163" s="18">
        <v>0</v>
      </c>
      <c r="L163" s="19">
        <v>0</v>
      </c>
      <c r="M163" s="17"/>
    </row>
    <row r="164" ht="10.95" customHeight="true" customFormat="true" s="9">
      <c r="A164" s="16">
        <v>45473</v>
      </c>
      <c r="B164" s="17"/>
      <c r="C164" s="17" t="s">
        <v>18</v>
      </c>
      <c r="D164" s="17" t="s">
        <v>69</v>
      </c>
      <c r="E164" s="17" t="s">
        <v>47</v>
      </c>
      <c r="F164" s="17" t="s">
        <v>87</v>
      </c>
      <c r="G164" s="17"/>
      <c r="H164" s="18">
        <v>1679.7800</v>
      </c>
      <c r="I164" s="18">
        <v>0</v>
      </c>
      <c r="J164" s="18">
        <f ca="1">((J163 + H164) - I164)</f>
        <v>0</v>
      </c>
      <c r="K164" s="18">
        <v>0</v>
      </c>
      <c r="L164" s="19">
        <v>0</v>
      </c>
      <c r="M164" s="17"/>
    </row>
    <row r="165" ht="10.95" customHeight="true" customFormat="true" s="9">
      <c r="A165" s="16">
        <v>45478</v>
      </c>
      <c r="B165" s="17"/>
      <c r="C165" s="17" t="s">
        <v>18</v>
      </c>
      <c r="D165" s="17" t="s">
        <v>69</v>
      </c>
      <c r="E165" s="17" t="s">
        <v>70</v>
      </c>
      <c r="F165" s="17" t="s">
        <v>71</v>
      </c>
      <c r="G165" s="17" t="s">
        <v>88</v>
      </c>
      <c r="H165" s="18">
        <v>313988.6100</v>
      </c>
      <c r="I165" s="18">
        <v>0</v>
      </c>
      <c r="J165" s="18">
        <f ca="1">((J164 + H165) - I165)</f>
        <v>0</v>
      </c>
      <c r="K165" s="18">
        <v>0</v>
      </c>
      <c r="L165" s="19">
        <v>0</v>
      </c>
      <c r="M165" s="17"/>
    </row>
    <row r="166" ht="10.95" customHeight="true" customFormat="true" s="9">
      <c r="A166" s="16">
        <v>45478</v>
      </c>
      <c r="B166" s="17"/>
      <c r="C166" s="17" t="s">
        <v>18</v>
      </c>
      <c r="D166" s="17" t="s">
        <v>69</v>
      </c>
      <c r="E166" s="17" t="s">
        <v>29</v>
      </c>
      <c r="F166" s="17" t="s">
        <v>39</v>
      </c>
      <c r="G166" s="17"/>
      <c r="H166" s="18">
        <v>0</v>
      </c>
      <c r="I166" s="18">
        <v>12.3800</v>
      </c>
      <c r="J166" s="18">
        <f ca="1">((J165 + H166) - I166)</f>
        <v>0</v>
      </c>
      <c r="K166" s="18">
        <v>0</v>
      </c>
      <c r="L166" s="19">
        <v>0</v>
      </c>
      <c r="M166" s="17"/>
    </row>
    <row r="167" ht="10.95" customHeight="true" customFormat="true" s="9">
      <c r="A167" s="16">
        <v>45498</v>
      </c>
      <c r="B167" s="17"/>
      <c r="C167" s="17" t="s">
        <v>18</v>
      </c>
      <c r="D167" s="17" t="s">
        <v>69</v>
      </c>
      <c r="E167" s="17" t="s">
        <v>29</v>
      </c>
      <c r="F167" s="17" t="s">
        <v>39</v>
      </c>
      <c r="G167" s="17"/>
      <c r="H167" s="18">
        <v>0</v>
      </c>
      <c r="I167" s="18">
        <v>10.8000</v>
      </c>
      <c r="J167" s="18">
        <f ca="1">((J166 + H167) - I167)</f>
        <v>0</v>
      </c>
      <c r="K167" s="18">
        <v>0</v>
      </c>
      <c r="L167" s="19">
        <v>0</v>
      </c>
      <c r="M167" s="17"/>
    </row>
    <row r="168" ht="10.95" customHeight="true" customFormat="true" s="9">
      <c r="A168" s="16">
        <v>45498</v>
      </c>
      <c r="B168" s="17"/>
      <c r="C168" s="17" t="s">
        <v>18</v>
      </c>
      <c r="D168" s="17" t="s">
        <v>69</v>
      </c>
      <c r="E168" s="17" t="s">
        <v>20</v>
      </c>
      <c r="F168" s="17" t="s">
        <v>21</v>
      </c>
      <c r="G168" s="17"/>
      <c r="H168" s="18">
        <v>0</v>
      </c>
      <c r="I168" s="18">
        <v>30605.9800</v>
      </c>
      <c r="J168" s="18">
        <f ca="1">((J167 + H168) - I168)</f>
        <v>0</v>
      </c>
      <c r="K168" s="18">
        <v>0</v>
      </c>
      <c r="L168" s="19">
        <v>0</v>
      </c>
      <c r="M168" s="17"/>
    </row>
    <row r="169" ht="10.95" customHeight="true" customFormat="true" s="9">
      <c r="A169" s="16">
        <v>45506</v>
      </c>
      <c r="B169" s="17"/>
      <c r="C169" s="17" t="s">
        <v>18</v>
      </c>
      <c r="D169" s="17" t="s">
        <v>69</v>
      </c>
      <c r="E169" s="17" t="s">
        <v>70</v>
      </c>
      <c r="F169" s="17" t="s">
        <v>71</v>
      </c>
      <c r="G169" s="17" t="s">
        <v>89</v>
      </c>
      <c r="H169" s="18">
        <v>282.5800</v>
      </c>
      <c r="I169" s="18">
        <v>0</v>
      </c>
      <c r="J169" s="18">
        <f ca="1">((J168 + H169) - I169)</f>
        <v>0</v>
      </c>
      <c r="K169" s="18">
        <v>0</v>
      </c>
      <c r="L169" s="19">
        <v>0</v>
      </c>
      <c r="M169" s="17"/>
    </row>
    <row r="170" ht="10.95" customHeight="true" customFormat="true" s="9">
      <c r="A170" s="16">
        <v>45506</v>
      </c>
      <c r="B170" s="17"/>
      <c r="C170" s="17" t="s">
        <v>18</v>
      </c>
      <c r="D170" s="17" t="s">
        <v>69</v>
      </c>
      <c r="E170" s="17" t="s">
        <v>70</v>
      </c>
      <c r="F170" s="17" t="s">
        <v>71</v>
      </c>
      <c r="G170" s="17" t="s">
        <v>90</v>
      </c>
      <c r="H170" s="18">
        <v>74963.3300</v>
      </c>
      <c r="I170" s="18">
        <v>0</v>
      </c>
      <c r="J170" s="18">
        <f ca="1">((J169 + H170) - I170)</f>
        <v>0</v>
      </c>
      <c r="K170" s="18">
        <v>0</v>
      </c>
      <c r="L170" s="19">
        <v>0</v>
      </c>
      <c r="M170" s="17"/>
    </row>
    <row r="171" ht="10.95" customHeight="true" customFormat="true" s="9">
      <c r="A171" s="16">
        <v>45506</v>
      </c>
      <c r="B171" s="17"/>
      <c r="C171" s="17" t="s">
        <v>18</v>
      </c>
      <c r="D171" s="17" t="s">
        <v>69</v>
      </c>
      <c r="E171" s="17" t="s">
        <v>29</v>
      </c>
      <c r="F171" s="17" t="s">
        <v>39</v>
      </c>
      <c r="G171" s="17"/>
      <c r="H171" s="18">
        <v>0</v>
      </c>
      <c r="I171" s="18">
        <v>12.7700</v>
      </c>
      <c r="J171" s="18">
        <f ca="1">((J170 + H171) - I171)</f>
        <v>0</v>
      </c>
      <c r="K171" s="18">
        <v>0</v>
      </c>
      <c r="L171" s="19">
        <v>0</v>
      </c>
      <c r="M171" s="17"/>
    </row>
    <row r="172" ht="10.95" customHeight="true" customFormat="true" s="9">
      <c r="A172" s="16">
        <v>45510</v>
      </c>
      <c r="B172" s="17"/>
      <c r="C172" s="17" t="s">
        <v>18</v>
      </c>
      <c r="D172" s="17" t="s">
        <v>69</v>
      </c>
      <c r="E172" s="17" t="s">
        <v>70</v>
      </c>
      <c r="F172" s="17" t="s">
        <v>74</v>
      </c>
      <c r="G172" s="17" t="s">
        <v>91</v>
      </c>
      <c r="H172" s="18">
        <v>46316.0900</v>
      </c>
      <c r="I172" s="18">
        <v>0</v>
      </c>
      <c r="J172" s="18">
        <f ca="1">((J171 + H172) - I172)</f>
        <v>0</v>
      </c>
      <c r="K172" s="18">
        <v>0</v>
      </c>
      <c r="L172" s="19">
        <v>0</v>
      </c>
      <c r="M172" s="17"/>
    </row>
    <row r="173" ht="10.95" customHeight="true" customFormat="true" s="9">
      <c r="A173" s="16">
        <v>45510</v>
      </c>
      <c r="B173" s="17"/>
      <c r="C173" s="17" t="s">
        <v>18</v>
      </c>
      <c r="D173" s="17" t="s">
        <v>69</v>
      </c>
      <c r="E173" s="17" t="s">
        <v>29</v>
      </c>
      <c r="F173" s="17" t="s">
        <v>39</v>
      </c>
      <c r="G173" s="17"/>
      <c r="H173" s="18">
        <v>0</v>
      </c>
      <c r="I173" s="18">
        <v>28.3500</v>
      </c>
      <c r="J173" s="18">
        <f ca="1">((J172 + H173) - I173)</f>
        <v>0</v>
      </c>
      <c r="K173" s="18">
        <v>0</v>
      </c>
      <c r="L173" s="19">
        <v>0</v>
      </c>
      <c r="M173" s="17"/>
    </row>
    <row r="174" ht="10.95" customHeight="true" customFormat="true" s="9">
      <c r="A174" s="16">
        <v>45525</v>
      </c>
      <c r="B174" s="17"/>
      <c r="C174" s="17" t="s">
        <v>18</v>
      </c>
      <c r="D174" s="17" t="s">
        <v>69</v>
      </c>
      <c r="E174" s="17" t="s">
        <v>70</v>
      </c>
      <c r="F174" s="17" t="s">
        <v>71</v>
      </c>
      <c r="G174" s="17" t="s">
        <v>92</v>
      </c>
      <c r="H174" s="18">
        <v>123454.3900</v>
      </c>
      <c r="I174" s="18">
        <v>0</v>
      </c>
      <c r="J174" s="18">
        <f ca="1">((J173 + H174) - I174)</f>
        <v>0</v>
      </c>
      <c r="K174" s="18">
        <v>0</v>
      </c>
      <c r="L174" s="19">
        <v>0</v>
      </c>
      <c r="M174" s="17"/>
    </row>
    <row r="175" ht="10.95" customHeight="true" customFormat="true" s="9">
      <c r="A175" s="16">
        <v>45525</v>
      </c>
      <c r="B175" s="17"/>
      <c r="C175" s="17" t="s">
        <v>18</v>
      </c>
      <c r="D175" s="17" t="s">
        <v>69</v>
      </c>
      <c r="E175" s="17" t="s">
        <v>70</v>
      </c>
      <c r="F175" s="17" t="s">
        <v>71</v>
      </c>
      <c r="G175" s="17" t="s">
        <v>93</v>
      </c>
      <c r="H175" s="18">
        <v>145346.8100</v>
      </c>
      <c r="I175" s="18">
        <v>0</v>
      </c>
      <c r="J175" s="18">
        <f ca="1">((J174 + H175) - I175)</f>
        <v>0</v>
      </c>
      <c r="K175" s="18">
        <v>0</v>
      </c>
      <c r="L175" s="19">
        <v>0</v>
      </c>
      <c r="M175" s="17"/>
    </row>
    <row r="176" ht="10.95" customHeight="true" customFormat="true" s="9">
      <c r="A176" s="16">
        <v>45525</v>
      </c>
      <c r="B176" s="17"/>
      <c r="C176" s="17" t="s">
        <v>18</v>
      </c>
      <c r="D176" s="17" t="s">
        <v>69</v>
      </c>
      <c r="E176" s="17" t="s">
        <v>29</v>
      </c>
      <c r="F176" s="17" t="s">
        <v>39</v>
      </c>
      <c r="G176" s="17"/>
      <c r="H176" s="18">
        <v>0</v>
      </c>
      <c r="I176" s="18">
        <v>12.4000</v>
      </c>
      <c r="J176" s="18">
        <f ca="1">((J175 + H176) - I176)</f>
        <v>0</v>
      </c>
      <c r="K176" s="18">
        <v>0</v>
      </c>
      <c r="L176" s="19">
        <v>0</v>
      </c>
      <c r="M176" s="17"/>
    </row>
    <row r="177" ht="10.95" customHeight="true" customFormat="true" s="9">
      <c r="A177" s="16">
        <v>45525</v>
      </c>
      <c r="B177" s="17"/>
      <c r="C177" s="17" t="s">
        <v>18</v>
      </c>
      <c r="D177" s="17" t="s">
        <v>69</v>
      </c>
      <c r="E177" s="17" t="s">
        <v>29</v>
      </c>
      <c r="F177" s="17" t="s">
        <v>84</v>
      </c>
      <c r="G177" s="17"/>
      <c r="H177" s="18">
        <v>0</v>
      </c>
      <c r="I177" s="18">
        <v>296.4200</v>
      </c>
      <c r="J177" s="18">
        <f ca="1">((J176 + H177) - I177)</f>
        <v>0</v>
      </c>
      <c r="K177" s="18">
        <v>0</v>
      </c>
      <c r="L177" s="19">
        <v>0</v>
      </c>
      <c r="M177" s="17"/>
    </row>
    <row r="178" ht="10.95" customHeight="true" customFormat="true" s="9">
      <c r="A178" s="16">
        <v>45527</v>
      </c>
      <c r="B178" s="17"/>
      <c r="C178" s="17" t="s">
        <v>18</v>
      </c>
      <c r="D178" s="17" t="s">
        <v>69</v>
      </c>
      <c r="E178" s="17" t="s">
        <v>29</v>
      </c>
      <c r="F178" s="17" t="s">
        <v>39</v>
      </c>
      <c r="G178" s="17"/>
      <c r="H178" s="18">
        <v>0</v>
      </c>
      <c r="I178" s="18">
        <v>10.5000</v>
      </c>
      <c r="J178" s="18">
        <f ca="1">((J177 + H178) - I178)</f>
        <v>0</v>
      </c>
      <c r="K178" s="18">
        <v>0</v>
      </c>
      <c r="L178" s="19">
        <v>0</v>
      </c>
      <c r="M178" s="17"/>
    </row>
    <row r="179" ht="10.95" customHeight="true" customFormat="true" s="9">
      <c r="A179" s="16">
        <v>45530</v>
      </c>
      <c r="B179" s="17"/>
      <c r="C179" s="17" t="s">
        <v>18</v>
      </c>
      <c r="D179" s="17" t="s">
        <v>69</v>
      </c>
      <c r="E179" s="17" t="s">
        <v>20</v>
      </c>
      <c r="F179" s="17" t="s">
        <v>41</v>
      </c>
      <c r="G179" s="17"/>
      <c r="H179" s="18">
        <v>0</v>
      </c>
      <c r="I179" s="18">
        <v>29356.6800</v>
      </c>
      <c r="J179" s="18">
        <f ca="1">((J178 + H179) - I179)</f>
        <v>0</v>
      </c>
      <c r="K179" s="18">
        <v>0</v>
      </c>
      <c r="L179" s="19">
        <v>0</v>
      </c>
      <c r="M179" s="17"/>
    </row>
    <row r="180" ht="10.95" customHeight="true" customFormat="true" s="9">
      <c r="A180" s="16">
        <v>45539</v>
      </c>
      <c r="B180" s="17"/>
      <c r="C180" s="17" t="s">
        <v>18</v>
      </c>
      <c r="D180" s="17" t="s">
        <v>69</v>
      </c>
      <c r="E180" s="17" t="s">
        <v>70</v>
      </c>
      <c r="F180" s="17" t="s">
        <v>74</v>
      </c>
      <c r="G180" s="17" t="s">
        <v>94</v>
      </c>
      <c r="H180" s="18">
        <v>44614.7700</v>
      </c>
      <c r="I180" s="18">
        <v>0</v>
      </c>
      <c r="J180" s="18">
        <f ca="1">((J179 + H180) - I180)</f>
        <v>0</v>
      </c>
      <c r="K180" s="18">
        <v>0</v>
      </c>
      <c r="L180" s="19">
        <v>0</v>
      </c>
      <c r="M180" s="17"/>
    </row>
    <row r="181" ht="10.95" customHeight="true" customFormat="true" s="9">
      <c r="A181" s="16">
        <v>45539</v>
      </c>
      <c r="B181" s="17"/>
      <c r="C181" s="17" t="s">
        <v>18</v>
      </c>
      <c r="D181" s="17" t="s">
        <v>69</v>
      </c>
      <c r="E181" s="17" t="s">
        <v>29</v>
      </c>
      <c r="F181" s="17" t="s">
        <v>39</v>
      </c>
      <c r="G181" s="17"/>
      <c r="H181" s="18">
        <v>0</v>
      </c>
      <c r="I181" s="18">
        <v>27.2900</v>
      </c>
      <c r="J181" s="18">
        <f ca="1">((J180 + H181) - I181)</f>
        <v>0</v>
      </c>
      <c r="K181" s="18">
        <v>0</v>
      </c>
      <c r="L181" s="19">
        <v>0</v>
      </c>
      <c r="M181" s="17"/>
    </row>
    <row r="182" ht="10.95" customHeight="true" customFormat="true" s="9">
      <c r="A182" s="16">
        <v>45546</v>
      </c>
      <c r="B182" s="17"/>
      <c r="C182" s="17" t="s">
        <v>18</v>
      </c>
      <c r="D182" s="17" t="s">
        <v>69</v>
      </c>
      <c r="E182" s="17" t="s">
        <v>36</v>
      </c>
      <c r="F182" s="17" t="s">
        <v>76</v>
      </c>
      <c r="G182" s="17" t="s">
        <v>95</v>
      </c>
      <c r="H182" s="18">
        <v>0</v>
      </c>
      <c r="I182" s="18">
        <v>176007.8100</v>
      </c>
      <c r="J182" s="18">
        <f ca="1">((J181 + H182) - I182)</f>
        <v>0</v>
      </c>
      <c r="K182" s="18">
        <v>0</v>
      </c>
      <c r="L182" s="19">
        <v>0</v>
      </c>
      <c r="M182" s="17"/>
    </row>
    <row r="183" ht="10.95" customHeight="true" customFormat="true" s="9">
      <c r="A183" s="16">
        <v>45546</v>
      </c>
      <c r="B183" s="17"/>
      <c r="C183" s="17" t="s">
        <v>18</v>
      </c>
      <c r="D183" s="17" t="s">
        <v>69</v>
      </c>
      <c r="E183" s="17" t="s">
        <v>36</v>
      </c>
      <c r="F183" s="17" t="s">
        <v>76</v>
      </c>
      <c r="G183" s="17" t="s">
        <v>96</v>
      </c>
      <c r="H183" s="18">
        <v>0</v>
      </c>
      <c r="I183" s="18">
        <v>144043.2800</v>
      </c>
      <c r="J183" s="18">
        <f ca="1">((J182 + H183) - I183)</f>
        <v>0</v>
      </c>
      <c r="K183" s="18">
        <v>0</v>
      </c>
      <c r="L183" s="19">
        <v>0</v>
      </c>
      <c r="M183" s="17"/>
    </row>
    <row r="184" ht="10.95" customHeight="true" customFormat="true" s="9">
      <c r="A184" s="16">
        <v>45546</v>
      </c>
      <c r="B184" s="17"/>
      <c r="C184" s="17" t="s">
        <v>18</v>
      </c>
      <c r="D184" s="17" t="s">
        <v>69</v>
      </c>
      <c r="E184" s="17" t="s">
        <v>36</v>
      </c>
      <c r="F184" s="17" t="s">
        <v>76</v>
      </c>
      <c r="G184" s="17" t="s">
        <v>97</v>
      </c>
      <c r="H184" s="18">
        <v>0</v>
      </c>
      <c r="I184" s="18">
        <v>4485.8500</v>
      </c>
      <c r="J184" s="18">
        <f ca="1">((J183 + H184) - I184)</f>
        <v>0</v>
      </c>
      <c r="K184" s="18">
        <v>0</v>
      </c>
      <c r="L184" s="19">
        <v>0</v>
      </c>
      <c r="M184" s="17"/>
    </row>
    <row r="185" ht="10.95" customHeight="true" customFormat="true" s="9">
      <c r="A185" s="16">
        <v>45546</v>
      </c>
      <c r="B185" s="17"/>
      <c r="C185" s="17" t="s">
        <v>18</v>
      </c>
      <c r="D185" s="17" t="s">
        <v>69</v>
      </c>
      <c r="E185" s="17" t="s">
        <v>36</v>
      </c>
      <c r="F185" s="17" t="s">
        <v>76</v>
      </c>
      <c r="G185" s="17" t="s">
        <v>98</v>
      </c>
      <c r="H185" s="18">
        <v>0</v>
      </c>
      <c r="I185" s="18">
        <v>3043.1700</v>
      </c>
      <c r="J185" s="18">
        <f ca="1">((J184 + H185) - I185)</f>
        <v>0</v>
      </c>
      <c r="K185" s="18">
        <v>0</v>
      </c>
      <c r="L185" s="19">
        <v>0</v>
      </c>
      <c r="M185" s="17"/>
    </row>
    <row r="186" ht="10.95" customHeight="true" customFormat="true" s="9">
      <c r="A186" s="16">
        <v>45546</v>
      </c>
      <c r="B186" s="17"/>
      <c r="C186" s="17" t="s">
        <v>18</v>
      </c>
      <c r="D186" s="17" t="s">
        <v>69</v>
      </c>
      <c r="E186" s="17" t="s">
        <v>36</v>
      </c>
      <c r="F186" s="17" t="s">
        <v>76</v>
      </c>
      <c r="G186" s="17" t="s">
        <v>99</v>
      </c>
      <c r="H186" s="18">
        <v>0</v>
      </c>
      <c r="I186" s="18">
        <v>18033.5900</v>
      </c>
      <c r="J186" s="18">
        <f ca="1">((J185 + H186) - I186)</f>
        <v>0</v>
      </c>
      <c r="K186" s="18">
        <v>0</v>
      </c>
      <c r="L186" s="19">
        <v>0</v>
      </c>
      <c r="M186" s="17"/>
    </row>
    <row r="187" ht="10.95" customHeight="true" customFormat="true" s="9">
      <c r="A187" s="16">
        <v>45546</v>
      </c>
      <c r="B187" s="17"/>
      <c r="C187" s="17" t="s">
        <v>18</v>
      </c>
      <c r="D187" s="17" t="s">
        <v>69</v>
      </c>
      <c r="E187" s="17" t="s">
        <v>36</v>
      </c>
      <c r="F187" s="17" t="s">
        <v>76</v>
      </c>
      <c r="G187" s="17" t="s">
        <v>100</v>
      </c>
      <c r="H187" s="18">
        <v>0</v>
      </c>
      <c r="I187" s="18">
        <v>118402.6300</v>
      </c>
      <c r="J187" s="18">
        <f ca="1">((J186 + H187) - I187)</f>
        <v>0</v>
      </c>
      <c r="K187" s="18">
        <v>0</v>
      </c>
      <c r="L187" s="19">
        <v>0</v>
      </c>
      <c r="M187" s="17"/>
    </row>
    <row r="188" ht="10.95" customHeight="true" customFormat="true" s="9">
      <c r="A188" s="16">
        <v>45546</v>
      </c>
      <c r="B188" s="17"/>
      <c r="C188" s="17" t="s">
        <v>18</v>
      </c>
      <c r="D188" s="17" t="s">
        <v>69</v>
      </c>
      <c r="E188" s="17" t="s">
        <v>36</v>
      </c>
      <c r="F188" s="17" t="s">
        <v>76</v>
      </c>
      <c r="G188" s="17" t="s">
        <v>101</v>
      </c>
      <c r="H188" s="18">
        <v>0</v>
      </c>
      <c r="I188" s="18">
        <v>233084.1200</v>
      </c>
      <c r="J188" s="18">
        <f ca="1">((J187 + H188) - I188)</f>
        <v>0</v>
      </c>
      <c r="K188" s="18">
        <v>0</v>
      </c>
      <c r="L188" s="19">
        <v>0</v>
      </c>
      <c r="M188" s="17"/>
    </row>
    <row r="189" ht="10.95" customHeight="true" customFormat="true" s="9">
      <c r="A189" s="16">
        <v>45546</v>
      </c>
      <c r="B189" s="17"/>
      <c r="C189" s="17" t="s">
        <v>18</v>
      </c>
      <c r="D189" s="17" t="s">
        <v>69</v>
      </c>
      <c r="E189" s="17" t="s">
        <v>36</v>
      </c>
      <c r="F189" s="17" t="s">
        <v>76</v>
      </c>
      <c r="G189" s="17" t="s">
        <v>102</v>
      </c>
      <c r="H189" s="18">
        <v>0</v>
      </c>
      <c r="I189" s="18">
        <v>143953.1100</v>
      </c>
      <c r="J189" s="18">
        <f ca="1">((J188 + H189) - I189)</f>
        <v>0</v>
      </c>
      <c r="K189" s="18">
        <v>0</v>
      </c>
      <c r="L189" s="19">
        <v>0</v>
      </c>
      <c r="M189" s="17"/>
    </row>
    <row r="190" ht="10.95" customHeight="true" customFormat="true" s="9">
      <c r="A190" s="16">
        <v>45546</v>
      </c>
      <c r="B190" s="17"/>
      <c r="C190" s="17" t="s">
        <v>18</v>
      </c>
      <c r="D190" s="17" t="s">
        <v>69</v>
      </c>
      <c r="E190" s="17" t="s">
        <v>36</v>
      </c>
      <c r="F190" s="17" t="s">
        <v>76</v>
      </c>
      <c r="G190" s="17" t="s">
        <v>103</v>
      </c>
      <c r="H190" s="18">
        <v>0</v>
      </c>
      <c r="I190" s="18">
        <v>152921.3100</v>
      </c>
      <c r="J190" s="18">
        <f ca="1">((J189 + H190) - I190)</f>
        <v>0</v>
      </c>
      <c r="K190" s="18">
        <v>0</v>
      </c>
      <c r="L190" s="19">
        <v>0</v>
      </c>
      <c r="M190" s="17"/>
    </row>
    <row r="191" ht="10.95" customHeight="true" customFormat="true" s="9">
      <c r="A191" s="16">
        <v>45546</v>
      </c>
      <c r="B191" s="17"/>
      <c r="C191" s="17" t="s">
        <v>18</v>
      </c>
      <c r="D191" s="17" t="s">
        <v>69</v>
      </c>
      <c r="E191" s="17" t="s">
        <v>36</v>
      </c>
      <c r="F191" s="17" t="s">
        <v>76</v>
      </c>
      <c r="G191" s="17" t="s">
        <v>104</v>
      </c>
      <c r="H191" s="18">
        <v>0</v>
      </c>
      <c r="I191" s="18">
        <v>294987.6500</v>
      </c>
      <c r="J191" s="18">
        <f ca="1">((J190 + H191) - I191)</f>
        <v>0</v>
      </c>
      <c r="K191" s="18">
        <v>0</v>
      </c>
      <c r="L191" s="19">
        <v>0</v>
      </c>
      <c r="M191" s="17"/>
    </row>
    <row r="192" ht="10.95" customHeight="true" customFormat="true" s="9">
      <c r="A192" s="16">
        <v>45546</v>
      </c>
      <c r="B192" s="17"/>
      <c r="C192" s="17" t="s">
        <v>18</v>
      </c>
      <c r="D192" s="17" t="s">
        <v>69</v>
      </c>
      <c r="E192" s="17" t="s">
        <v>36</v>
      </c>
      <c r="F192" s="17" t="s">
        <v>76</v>
      </c>
      <c r="G192" s="17" t="s">
        <v>105</v>
      </c>
      <c r="H192" s="18">
        <v>0</v>
      </c>
      <c r="I192" s="18">
        <v>68982.8900</v>
      </c>
      <c r="J192" s="18">
        <f ca="1">((J191 + H192) - I192)</f>
        <v>0</v>
      </c>
      <c r="K192" s="18">
        <v>0</v>
      </c>
      <c r="L192" s="19">
        <v>0</v>
      </c>
      <c r="M192" s="17"/>
    </row>
    <row r="193" ht="10.95" customHeight="true" customFormat="true" s="9">
      <c r="A193" s="16">
        <v>45552</v>
      </c>
      <c r="B193" s="17"/>
      <c r="C193" s="17" t="s">
        <v>18</v>
      </c>
      <c r="D193" s="17" t="s">
        <v>69</v>
      </c>
      <c r="E193" s="17" t="s">
        <v>70</v>
      </c>
      <c r="F193" s="17" t="s">
        <v>71</v>
      </c>
      <c r="G193" s="17" t="s">
        <v>106</v>
      </c>
      <c r="H193" s="18">
        <v>249058.3500</v>
      </c>
      <c r="I193" s="18">
        <v>0</v>
      </c>
      <c r="J193" s="18">
        <f ca="1">((J192 + H193) - I193)</f>
        <v>0</v>
      </c>
      <c r="K193" s="18">
        <v>0</v>
      </c>
      <c r="L193" s="19">
        <v>0</v>
      </c>
      <c r="M193" s="17"/>
    </row>
    <row r="194" ht="10.95" customHeight="true" customFormat="true" s="9">
      <c r="A194" s="16">
        <v>45552</v>
      </c>
      <c r="B194" s="17"/>
      <c r="C194" s="17" t="s">
        <v>18</v>
      </c>
      <c r="D194" s="17" t="s">
        <v>69</v>
      </c>
      <c r="E194" s="17" t="s">
        <v>70</v>
      </c>
      <c r="F194" s="17" t="s">
        <v>71</v>
      </c>
      <c r="G194" s="17" t="s">
        <v>107</v>
      </c>
      <c r="H194" s="18">
        <v>577459.5700</v>
      </c>
      <c r="I194" s="18">
        <v>0</v>
      </c>
      <c r="J194" s="18">
        <f ca="1">((J193 + H194) - I194)</f>
        <v>0</v>
      </c>
      <c r="K194" s="18">
        <v>0</v>
      </c>
      <c r="L194" s="19">
        <v>0</v>
      </c>
      <c r="M194" s="17"/>
    </row>
    <row r="195" ht="10.95" customHeight="true" customFormat="true" s="9">
      <c r="A195" s="16">
        <v>45552</v>
      </c>
      <c r="B195" s="17"/>
      <c r="C195" s="17" t="s">
        <v>18</v>
      </c>
      <c r="D195" s="17" t="s">
        <v>69</v>
      </c>
      <c r="E195" s="17" t="s">
        <v>29</v>
      </c>
      <c r="F195" s="17" t="s">
        <v>39</v>
      </c>
      <c r="G195" s="17"/>
      <c r="H195" s="18">
        <v>0</v>
      </c>
      <c r="I195" s="18">
        <v>12.3900</v>
      </c>
      <c r="J195" s="18">
        <f ca="1">((J194 + H195) - I195)</f>
        <v>0</v>
      </c>
      <c r="K195" s="18">
        <v>0</v>
      </c>
      <c r="L195" s="19">
        <v>0</v>
      </c>
      <c r="M195" s="17"/>
    </row>
    <row r="196" ht="10.95" customHeight="true" customFormat="true" s="9">
      <c r="A196" s="16">
        <v>45558</v>
      </c>
      <c r="B196" s="17"/>
      <c r="C196" s="17" t="s">
        <v>18</v>
      </c>
      <c r="D196" s="17" t="s">
        <v>69</v>
      </c>
      <c r="E196" s="17" t="s">
        <v>20</v>
      </c>
      <c r="F196" s="17" t="s">
        <v>21</v>
      </c>
      <c r="G196" s="17"/>
      <c r="H196" s="18">
        <v>0</v>
      </c>
      <c r="I196" s="18">
        <v>29247.4200</v>
      </c>
      <c r="J196" s="18">
        <f ca="1">((J195 + H196) - I196)</f>
        <v>0</v>
      </c>
      <c r="K196" s="18">
        <v>0</v>
      </c>
      <c r="L196" s="19">
        <v>0</v>
      </c>
      <c r="M196" s="17"/>
    </row>
    <row r="197" ht="10.95" customHeight="true" customFormat="true" s="9">
      <c r="A197" s="16">
        <v>45558</v>
      </c>
      <c r="B197" s="17"/>
      <c r="C197" s="17" t="s">
        <v>18</v>
      </c>
      <c r="D197" s="17" t="s">
        <v>69</v>
      </c>
      <c r="E197" s="17" t="s">
        <v>29</v>
      </c>
      <c r="F197" s="17" t="s">
        <v>39</v>
      </c>
      <c r="G197" s="17"/>
      <c r="H197" s="18">
        <v>0</v>
      </c>
      <c r="I197" s="18">
        <v>10.3400</v>
      </c>
      <c r="J197" s="18">
        <f ca="1">((J196 + H197) - I197)</f>
        <v>0</v>
      </c>
      <c r="K197" s="18">
        <v>0</v>
      </c>
      <c r="L197" s="19">
        <v>0</v>
      </c>
      <c r="M197" s="17"/>
    </row>
    <row r="198" ht="10.95" customHeight="true" customFormat="true" s="9">
      <c r="A198" s="16">
        <v>45561</v>
      </c>
      <c r="B198" s="17"/>
      <c r="C198" s="17" t="s">
        <v>18</v>
      </c>
      <c r="D198" s="17" t="s">
        <v>69</v>
      </c>
      <c r="E198" s="17" t="s">
        <v>36</v>
      </c>
      <c r="F198" s="17" t="s">
        <v>76</v>
      </c>
      <c r="G198" s="17" t="s">
        <v>108</v>
      </c>
      <c r="H198" s="18">
        <v>0</v>
      </c>
      <c r="I198" s="18">
        <v>133402.2200</v>
      </c>
      <c r="J198" s="18">
        <f ca="1">((J197 + H198) - I198)</f>
        <v>0</v>
      </c>
      <c r="K198" s="18">
        <v>0</v>
      </c>
      <c r="L198" s="19">
        <v>0</v>
      </c>
      <c r="M198" s="17"/>
    </row>
    <row r="199" ht="10.95" customHeight="true" customFormat="true" s="9">
      <c r="A199" s="16">
        <v>45561</v>
      </c>
      <c r="B199" s="17"/>
      <c r="C199" s="17" t="s">
        <v>18</v>
      </c>
      <c r="D199" s="17" t="s">
        <v>69</v>
      </c>
      <c r="E199" s="17" t="s">
        <v>36</v>
      </c>
      <c r="F199" s="17" t="s">
        <v>76</v>
      </c>
      <c r="G199" s="17" t="s">
        <v>109</v>
      </c>
      <c r="H199" s="18">
        <v>0</v>
      </c>
      <c r="I199" s="18">
        <v>230005.0100</v>
      </c>
      <c r="J199" s="18">
        <f ca="1">((J198 + H199) - I199)</f>
        <v>0</v>
      </c>
      <c r="K199" s="18">
        <v>0</v>
      </c>
      <c r="L199" s="19">
        <v>0</v>
      </c>
      <c r="M199" s="17"/>
    </row>
    <row r="200" ht="10.95" customHeight="true" customFormat="true" s="9">
      <c r="A200" s="16">
        <v>45561</v>
      </c>
      <c r="B200" s="17"/>
      <c r="C200" s="17" t="s">
        <v>18</v>
      </c>
      <c r="D200" s="17" t="s">
        <v>69</v>
      </c>
      <c r="E200" s="17" t="s">
        <v>36</v>
      </c>
      <c r="F200" s="17" t="s">
        <v>76</v>
      </c>
      <c r="G200" s="17" t="s">
        <v>110</v>
      </c>
      <c r="H200" s="18">
        <v>0</v>
      </c>
      <c r="I200" s="18">
        <v>516261.8800</v>
      </c>
      <c r="J200" s="18">
        <f ca="1">((J199 + H200) - I200)</f>
        <v>0</v>
      </c>
      <c r="K200" s="18">
        <v>0</v>
      </c>
      <c r="L200" s="19">
        <v>0</v>
      </c>
      <c r="M200" s="17"/>
    </row>
    <row r="201" ht="10.95" customHeight="true" customFormat="true" s="9">
      <c r="A201" s="16">
        <v>45561</v>
      </c>
      <c r="B201" s="17"/>
      <c r="C201" s="17" t="s">
        <v>18</v>
      </c>
      <c r="D201" s="17" t="s">
        <v>69</v>
      </c>
      <c r="E201" s="17" t="s">
        <v>36</v>
      </c>
      <c r="F201" s="17" t="s">
        <v>76</v>
      </c>
      <c r="G201" s="17" t="s">
        <v>111</v>
      </c>
      <c r="H201" s="18">
        <v>0</v>
      </c>
      <c r="I201" s="18">
        <v>14527.8600</v>
      </c>
      <c r="J201" s="18">
        <f ca="1">((J200 + H201) - I201)</f>
        <v>0</v>
      </c>
      <c r="K201" s="18">
        <v>0</v>
      </c>
      <c r="L201" s="19">
        <v>0</v>
      </c>
      <c r="M201" s="17"/>
    </row>
    <row r="202" ht="10.95" customHeight="true" customFormat="true" s="9">
      <c r="A202" s="16">
        <v>45561</v>
      </c>
      <c r="B202" s="17"/>
      <c r="C202" s="17" t="s">
        <v>18</v>
      </c>
      <c r="D202" s="17" t="s">
        <v>69</v>
      </c>
      <c r="E202" s="17" t="s">
        <v>36</v>
      </c>
      <c r="F202" s="17" t="s">
        <v>76</v>
      </c>
      <c r="G202" s="17" t="s">
        <v>112</v>
      </c>
      <c r="H202" s="18">
        <v>0</v>
      </c>
      <c r="I202" s="18">
        <v>105120.3000</v>
      </c>
      <c r="J202" s="18">
        <f ca="1">((J201 + H202) - I202)</f>
        <v>0</v>
      </c>
      <c r="K202" s="18">
        <v>0</v>
      </c>
      <c r="L202" s="19">
        <v>0</v>
      </c>
      <c r="M202" s="17"/>
    </row>
    <row r="203" ht="10.95" customHeight="true" customFormat="true" s="9">
      <c r="A203" s="16">
        <v>45568</v>
      </c>
      <c r="B203" s="17"/>
      <c r="C203" s="17" t="s">
        <v>18</v>
      </c>
      <c r="D203" s="17" t="s">
        <v>69</v>
      </c>
      <c r="E203" s="17" t="s">
        <v>70</v>
      </c>
      <c r="F203" s="17" t="s">
        <v>74</v>
      </c>
      <c r="G203" s="17" t="s">
        <v>113</v>
      </c>
      <c r="H203" s="18">
        <v>43878.0000</v>
      </c>
      <c r="I203" s="18">
        <v>0</v>
      </c>
      <c r="J203" s="18">
        <f ca="1">((J202 + H203) - I203)</f>
        <v>0</v>
      </c>
      <c r="K203" s="18">
        <v>0</v>
      </c>
      <c r="L203" s="19">
        <v>0</v>
      </c>
      <c r="M203" s="17"/>
    </row>
    <row r="204" ht="10.95" customHeight="true" customFormat="true" s="9">
      <c r="A204" s="16">
        <v>45568</v>
      </c>
      <c r="B204" s="17"/>
      <c r="C204" s="17" t="s">
        <v>18</v>
      </c>
      <c r="D204" s="17" t="s">
        <v>69</v>
      </c>
      <c r="E204" s="17" t="s">
        <v>29</v>
      </c>
      <c r="F204" s="17" t="s">
        <v>39</v>
      </c>
      <c r="G204" s="17"/>
      <c r="H204" s="18">
        <v>0</v>
      </c>
      <c r="I204" s="18">
        <v>26.9000</v>
      </c>
      <c r="J204" s="18">
        <f ca="1">((J203 + H204) - I204)</f>
        <v>0</v>
      </c>
      <c r="K204" s="18">
        <v>0</v>
      </c>
      <c r="L204" s="19">
        <v>0</v>
      </c>
      <c r="M204" s="17"/>
    </row>
    <row r="205" ht="10.95" customHeight="true" customFormat="true" s="9">
      <c r="A205" s="16">
        <v>45575</v>
      </c>
      <c r="B205" s="17"/>
      <c r="C205" s="17" t="s">
        <v>18</v>
      </c>
      <c r="D205" s="17" t="s">
        <v>69</v>
      </c>
      <c r="E205" s="17" t="s">
        <v>70</v>
      </c>
      <c r="F205" s="17" t="s">
        <v>71</v>
      </c>
      <c r="G205" s="17" t="s">
        <v>114</v>
      </c>
      <c r="H205" s="18">
        <v>108220.2300</v>
      </c>
      <c r="I205" s="18">
        <v>0</v>
      </c>
      <c r="J205" s="18">
        <f ca="1">((J204 + H205) - I205)</f>
        <v>0</v>
      </c>
      <c r="K205" s="18">
        <v>0</v>
      </c>
      <c r="L205" s="19">
        <v>0</v>
      </c>
      <c r="M205" s="17"/>
    </row>
    <row r="206" ht="10.95" customHeight="true" customFormat="true" s="9">
      <c r="A206" s="16">
        <v>45575</v>
      </c>
      <c r="B206" s="17"/>
      <c r="C206" s="17" t="s">
        <v>18</v>
      </c>
      <c r="D206" s="17" t="s">
        <v>69</v>
      </c>
      <c r="E206" s="17" t="s">
        <v>70</v>
      </c>
      <c r="F206" s="17" t="s">
        <v>71</v>
      </c>
      <c r="G206" s="17" t="s">
        <v>115</v>
      </c>
      <c r="H206" s="18">
        <v>72865.5700</v>
      </c>
      <c r="I206" s="18">
        <v>0</v>
      </c>
      <c r="J206" s="18">
        <f ca="1">((J205 + H206) - I206)</f>
        <v>0</v>
      </c>
      <c r="K206" s="18">
        <v>0</v>
      </c>
      <c r="L206" s="19">
        <v>0</v>
      </c>
      <c r="M206" s="17"/>
    </row>
    <row r="207" ht="10.95" customHeight="true" customFormat="true" s="9">
      <c r="A207" s="16">
        <v>45575</v>
      </c>
      <c r="B207" s="17"/>
      <c r="C207" s="17" t="s">
        <v>18</v>
      </c>
      <c r="D207" s="17" t="s">
        <v>69</v>
      </c>
      <c r="E207" s="17" t="s">
        <v>70</v>
      </c>
      <c r="F207" s="17" t="s">
        <v>71</v>
      </c>
      <c r="G207" s="17" t="s">
        <v>116</v>
      </c>
      <c r="H207" s="18">
        <v>115184.6600</v>
      </c>
      <c r="I207" s="18">
        <v>0</v>
      </c>
      <c r="J207" s="18">
        <f ca="1">((J206 + H207) - I207)</f>
        <v>0</v>
      </c>
      <c r="K207" s="18">
        <v>0</v>
      </c>
      <c r="L207" s="19">
        <v>0</v>
      </c>
      <c r="M207" s="17"/>
    </row>
    <row r="208" ht="10.95" customHeight="true" customFormat="true" s="9">
      <c r="A208" s="16">
        <v>45575</v>
      </c>
      <c r="B208" s="17"/>
      <c r="C208" s="17" t="s">
        <v>18</v>
      </c>
      <c r="D208" s="17" t="s">
        <v>69</v>
      </c>
      <c r="E208" s="17" t="s">
        <v>29</v>
      </c>
      <c r="F208" s="17" t="s">
        <v>39</v>
      </c>
      <c r="G208" s="17"/>
      <c r="H208" s="18">
        <v>0</v>
      </c>
      <c r="I208" s="18">
        <v>11.3000</v>
      </c>
      <c r="J208" s="18">
        <f ca="1">((J207 + H208) - I208)</f>
        <v>0</v>
      </c>
      <c r="K208" s="18">
        <v>0</v>
      </c>
      <c r="L208" s="19">
        <v>0</v>
      </c>
      <c r="M208" s="17"/>
    </row>
    <row r="209" ht="10.95" customHeight="true" customFormat="true" s="9">
      <c r="A209" s="16">
        <v>45583</v>
      </c>
      <c r="B209" s="17"/>
      <c r="C209" s="17" t="s">
        <v>18</v>
      </c>
      <c r="D209" s="17" t="s">
        <v>69</v>
      </c>
      <c r="E209" s="17" t="s">
        <v>70</v>
      </c>
      <c r="F209" s="17" t="s">
        <v>71</v>
      </c>
      <c r="G209" s="17" t="s">
        <v>117</v>
      </c>
      <c r="H209" s="18">
        <v>127208.6100</v>
      </c>
      <c r="I209" s="18">
        <v>0</v>
      </c>
      <c r="J209" s="18">
        <f ca="1">((J208 + H209) - I209)</f>
        <v>0</v>
      </c>
      <c r="K209" s="18">
        <v>0</v>
      </c>
      <c r="L209" s="19">
        <v>0</v>
      </c>
      <c r="M209" s="17"/>
    </row>
    <row r="210" ht="10.95" customHeight="true" customFormat="true" s="9">
      <c r="A210" s="16">
        <v>45583</v>
      </c>
      <c r="B210" s="17"/>
      <c r="C210" s="17" t="s">
        <v>18</v>
      </c>
      <c r="D210" s="17" t="s">
        <v>69</v>
      </c>
      <c r="E210" s="17" t="s">
        <v>29</v>
      </c>
      <c r="F210" s="17" t="s">
        <v>39</v>
      </c>
      <c r="G210" s="17"/>
      <c r="H210" s="18">
        <v>0</v>
      </c>
      <c r="I210" s="18">
        <v>12.4900</v>
      </c>
      <c r="J210" s="18">
        <f ca="1">((J209 + H210) - I210)</f>
        <v>0</v>
      </c>
      <c r="K210" s="18">
        <v>0</v>
      </c>
      <c r="L210" s="19">
        <v>0</v>
      </c>
      <c r="M210" s="17"/>
    </row>
    <row r="211" ht="10.95" customHeight="true" customFormat="true" s="9">
      <c r="A211" s="16">
        <v>45587</v>
      </c>
      <c r="B211" s="17"/>
      <c r="C211" s="17" t="s">
        <v>18</v>
      </c>
      <c r="D211" s="17" t="s">
        <v>69</v>
      </c>
      <c r="E211" s="17" t="s">
        <v>20</v>
      </c>
      <c r="F211" s="17" t="s">
        <v>21</v>
      </c>
      <c r="G211" s="17"/>
      <c r="H211" s="18">
        <v>0</v>
      </c>
      <c r="I211" s="18">
        <v>82286.5500</v>
      </c>
      <c r="J211" s="18">
        <f ca="1">((J210 + H211) - I211)</f>
        <v>0</v>
      </c>
      <c r="K211" s="18">
        <v>0</v>
      </c>
      <c r="L211" s="19">
        <v>0</v>
      </c>
      <c r="M211" s="17"/>
    </row>
    <row r="212" ht="10.95" customHeight="true" customFormat="true" s="9">
      <c r="A212" s="16">
        <v>45587</v>
      </c>
      <c r="B212" s="17"/>
      <c r="C212" s="17" t="s">
        <v>18</v>
      </c>
      <c r="D212" s="17" t="s">
        <v>69</v>
      </c>
      <c r="E212" s="17" t="s">
        <v>29</v>
      </c>
      <c r="F212" s="17" t="s">
        <v>39</v>
      </c>
      <c r="G212" s="17"/>
      <c r="H212" s="18">
        <v>0</v>
      </c>
      <c r="I212" s="18">
        <v>10.6100</v>
      </c>
      <c r="J212" s="18">
        <f ca="1">((J211 + H212) - I212)</f>
        <v>0</v>
      </c>
      <c r="K212" s="18">
        <v>0</v>
      </c>
      <c r="L212" s="19">
        <v>0</v>
      </c>
      <c r="M212" s="17"/>
    </row>
    <row r="213" ht="10.95" customHeight="true" customFormat="true" s="9">
      <c r="A213" s="16">
        <v>45598</v>
      </c>
      <c r="B213" s="17"/>
      <c r="C213" s="17" t="s">
        <v>18</v>
      </c>
      <c r="D213" s="17" t="s">
        <v>69</v>
      </c>
      <c r="E213" s="17" t="s">
        <v>70</v>
      </c>
      <c r="F213" s="17" t="s">
        <v>74</v>
      </c>
      <c r="G213" s="17" t="s">
        <v>118</v>
      </c>
      <c r="H213" s="18">
        <v>45743.7000</v>
      </c>
      <c r="I213" s="18">
        <v>0</v>
      </c>
      <c r="J213" s="18">
        <f ca="1">((J212 + H213) - I213)</f>
        <v>0</v>
      </c>
      <c r="K213" s="18">
        <v>0</v>
      </c>
      <c r="L213" s="19">
        <v>0</v>
      </c>
      <c r="M213" s="17"/>
    </row>
    <row r="214" ht="10.95" customHeight="true" customFormat="true" s="9">
      <c r="A214" s="16">
        <v>45598</v>
      </c>
      <c r="B214" s="17"/>
      <c r="C214" s="17" t="s">
        <v>18</v>
      </c>
      <c r="D214" s="17" t="s">
        <v>69</v>
      </c>
      <c r="E214" s="17" t="s">
        <v>29</v>
      </c>
      <c r="F214" s="17" t="s">
        <v>39</v>
      </c>
      <c r="G214" s="17"/>
      <c r="H214" s="18">
        <v>0</v>
      </c>
      <c r="I214" s="18">
        <v>28.0300</v>
      </c>
      <c r="J214" s="18">
        <f ca="1">((J213 + H214) - I214)</f>
        <v>0</v>
      </c>
      <c r="K214" s="18">
        <v>0</v>
      </c>
      <c r="L214" s="19">
        <v>0</v>
      </c>
      <c r="M214" s="17"/>
    </row>
    <row r="215" ht="10.95" customHeight="true" customFormat="true" s="9">
      <c r="A215" s="16">
        <v>45611</v>
      </c>
      <c r="B215" s="17"/>
      <c r="C215" s="17" t="s">
        <v>18</v>
      </c>
      <c r="D215" s="17" t="s">
        <v>69</v>
      </c>
      <c r="E215" s="17" t="s">
        <v>70</v>
      </c>
      <c r="F215" s="17" t="s">
        <v>71</v>
      </c>
      <c r="G215" s="17" t="s">
        <v>119</v>
      </c>
      <c r="H215" s="18">
        <v>259605.6300</v>
      </c>
      <c r="I215" s="18">
        <v>0</v>
      </c>
      <c r="J215" s="18">
        <f ca="1">((J214 + H215) - I215)</f>
        <v>0</v>
      </c>
      <c r="K215" s="18">
        <v>0</v>
      </c>
      <c r="L215" s="19">
        <v>0</v>
      </c>
      <c r="M215" s="17"/>
    </row>
    <row r="216" ht="10.95" customHeight="true" customFormat="true" s="9">
      <c r="A216" s="16">
        <v>45611</v>
      </c>
      <c r="B216" s="17"/>
      <c r="C216" s="17" t="s">
        <v>18</v>
      </c>
      <c r="D216" s="17" t="s">
        <v>69</v>
      </c>
      <c r="E216" s="17" t="s">
        <v>70</v>
      </c>
      <c r="F216" s="17" t="s">
        <v>71</v>
      </c>
      <c r="G216" s="17" t="s">
        <v>120</v>
      </c>
      <c r="H216" s="18">
        <v>135983.9000</v>
      </c>
      <c r="I216" s="18">
        <v>0</v>
      </c>
      <c r="J216" s="18">
        <f ca="1">((J215 + H216) - I216)</f>
        <v>0</v>
      </c>
      <c r="K216" s="18">
        <v>0</v>
      </c>
      <c r="L216" s="19">
        <v>0</v>
      </c>
      <c r="M216" s="17"/>
    </row>
    <row r="217" ht="10.95" customHeight="true" customFormat="true" s="9">
      <c r="A217" s="16">
        <v>45611</v>
      </c>
      <c r="B217" s="17"/>
      <c r="C217" s="17" t="s">
        <v>18</v>
      </c>
      <c r="D217" s="17" t="s">
        <v>69</v>
      </c>
      <c r="E217" s="17" t="s">
        <v>29</v>
      </c>
      <c r="F217" s="17" t="s">
        <v>39</v>
      </c>
      <c r="G217" s="17"/>
      <c r="H217" s="18">
        <v>0</v>
      </c>
      <c r="I217" s="18">
        <v>12.9300</v>
      </c>
      <c r="J217" s="18">
        <f ca="1">((J216 + H217) - I217)</f>
        <v>0</v>
      </c>
      <c r="K217" s="18">
        <v>0</v>
      </c>
      <c r="L217" s="19">
        <v>0</v>
      </c>
      <c r="M217" s="17"/>
    </row>
    <row r="218" ht="10.95" customHeight="true" customFormat="true" s="9">
      <c r="A218" s="16">
        <v>45615</v>
      </c>
      <c r="B218" s="17"/>
      <c r="C218" s="17" t="s">
        <v>18</v>
      </c>
      <c r="D218" s="17" t="s">
        <v>69</v>
      </c>
      <c r="E218" s="17" t="s">
        <v>36</v>
      </c>
      <c r="F218" s="17" t="s">
        <v>76</v>
      </c>
      <c r="G218" s="17" t="s">
        <v>121</v>
      </c>
      <c r="H218" s="18">
        <v>0</v>
      </c>
      <c r="I218" s="18">
        <v>70696.4800</v>
      </c>
      <c r="J218" s="18">
        <f ca="1">((J217 + H218) - I218)</f>
        <v>0</v>
      </c>
      <c r="K218" s="18">
        <v>0</v>
      </c>
      <c r="L218" s="19">
        <v>0</v>
      </c>
      <c r="M218" s="17"/>
    </row>
    <row r="219" ht="10.95" customHeight="true" customFormat="true" s="9">
      <c r="A219" s="16">
        <v>45615</v>
      </c>
      <c r="B219" s="17"/>
      <c r="C219" s="17" t="s">
        <v>18</v>
      </c>
      <c r="D219" s="17" t="s">
        <v>69</v>
      </c>
      <c r="E219" s="17" t="s">
        <v>36</v>
      </c>
      <c r="F219" s="17" t="s">
        <v>76</v>
      </c>
      <c r="G219" s="17" t="s">
        <v>122</v>
      </c>
      <c r="H219" s="18">
        <v>0</v>
      </c>
      <c r="I219" s="18">
        <v>105991.7200</v>
      </c>
      <c r="J219" s="18">
        <f ca="1">((J218 + H219) - I219)</f>
        <v>0</v>
      </c>
      <c r="K219" s="18">
        <v>0</v>
      </c>
      <c r="L219" s="19">
        <v>0</v>
      </c>
      <c r="M219" s="17"/>
    </row>
    <row r="220" ht="10.95" customHeight="true" customFormat="true" s="9">
      <c r="A220" s="16">
        <v>45615</v>
      </c>
      <c r="B220" s="17"/>
      <c r="C220" s="17" t="s">
        <v>18</v>
      </c>
      <c r="D220" s="17" t="s">
        <v>69</v>
      </c>
      <c r="E220" s="17" t="s">
        <v>36</v>
      </c>
      <c r="F220" s="17" t="s">
        <v>76</v>
      </c>
      <c r="G220" s="17" t="s">
        <v>123</v>
      </c>
      <c r="H220" s="18">
        <v>0</v>
      </c>
      <c r="I220" s="18">
        <v>122394.1000</v>
      </c>
      <c r="J220" s="18">
        <f ca="1">((J219 + H220) - I220)</f>
        <v>0</v>
      </c>
      <c r="K220" s="18">
        <v>0</v>
      </c>
      <c r="L220" s="19">
        <v>0</v>
      </c>
      <c r="M220" s="17"/>
    </row>
    <row r="221" ht="10.95" customHeight="true" customFormat="true" s="9">
      <c r="A221" s="16">
        <v>45615</v>
      </c>
      <c r="B221" s="17"/>
      <c r="C221" s="17" t="s">
        <v>18</v>
      </c>
      <c r="D221" s="17" t="s">
        <v>69</v>
      </c>
      <c r="E221" s="17" t="s">
        <v>36</v>
      </c>
      <c r="F221" s="17" t="s">
        <v>76</v>
      </c>
      <c r="G221" s="17" t="s">
        <v>124</v>
      </c>
      <c r="H221" s="18">
        <v>0</v>
      </c>
      <c r="I221" s="18">
        <v>231011.6800</v>
      </c>
      <c r="J221" s="18">
        <f ca="1">((J220 + H221) - I221)</f>
        <v>0</v>
      </c>
      <c r="K221" s="18">
        <v>0</v>
      </c>
      <c r="L221" s="19">
        <v>0</v>
      </c>
      <c r="M221" s="17"/>
    </row>
    <row r="222" ht="10.95" customHeight="true" customFormat="true" s="9">
      <c r="A222" s="16">
        <v>45615</v>
      </c>
      <c r="B222" s="17"/>
      <c r="C222" s="17" t="s">
        <v>18</v>
      </c>
      <c r="D222" s="17" t="s">
        <v>69</v>
      </c>
      <c r="E222" s="17" t="s">
        <v>36</v>
      </c>
      <c r="F222" s="17" t="s">
        <v>76</v>
      </c>
      <c r="G222" s="17" t="s">
        <v>125</v>
      </c>
      <c r="H222" s="18">
        <v>0</v>
      </c>
      <c r="I222" s="18">
        <v>12327.2000</v>
      </c>
      <c r="J222" s="18">
        <f ca="1">((J221 + H222) - I222)</f>
        <v>0</v>
      </c>
      <c r="K222" s="18">
        <v>0</v>
      </c>
      <c r="L222" s="19">
        <v>0</v>
      </c>
      <c r="M222" s="17"/>
    </row>
    <row r="223" ht="10.95" customHeight="true" customFormat="true" s="9">
      <c r="A223" s="16">
        <v>45616</v>
      </c>
      <c r="B223" s="17"/>
      <c r="C223" s="17" t="s">
        <v>18</v>
      </c>
      <c r="D223" s="17" t="s">
        <v>69</v>
      </c>
      <c r="E223" s="17" t="s">
        <v>20</v>
      </c>
      <c r="F223" s="17" t="s">
        <v>21</v>
      </c>
      <c r="G223" s="17"/>
      <c r="H223" s="18">
        <v>0</v>
      </c>
      <c r="I223" s="18">
        <v>38448.5300</v>
      </c>
      <c r="J223" s="18">
        <f ca="1">((J222 + H223) - I223)</f>
        <v>0</v>
      </c>
      <c r="K223" s="18">
        <v>0</v>
      </c>
      <c r="L223" s="19">
        <v>0</v>
      </c>
      <c r="M223" s="17"/>
    </row>
    <row r="224" ht="10.95" customHeight="true" customFormat="true" s="9">
      <c r="A224" s="16">
        <v>45616</v>
      </c>
      <c r="B224" s="17"/>
      <c r="C224" s="17" t="s">
        <v>18</v>
      </c>
      <c r="D224" s="17" t="s">
        <v>69</v>
      </c>
      <c r="E224" s="17" t="s">
        <v>29</v>
      </c>
      <c r="F224" s="17" t="s">
        <v>39</v>
      </c>
      <c r="G224" s="17"/>
      <c r="H224" s="18">
        <v>0</v>
      </c>
      <c r="I224" s="18">
        <v>10.8900</v>
      </c>
      <c r="J224" s="18">
        <f ca="1">((J223 + H224) - I224)</f>
        <v>0</v>
      </c>
      <c r="K224" s="18">
        <v>0</v>
      </c>
      <c r="L224" s="19">
        <v>0</v>
      </c>
      <c r="M224" s="17"/>
    </row>
    <row r="225" ht="10.95" customHeight="true" customFormat="true" s="9">
      <c r="A225" s="16">
        <v>45621</v>
      </c>
      <c r="B225" s="17"/>
      <c r="C225" s="17" t="s">
        <v>18</v>
      </c>
      <c r="D225" s="17" t="s">
        <v>69</v>
      </c>
      <c r="E225" s="17" t="s">
        <v>70</v>
      </c>
      <c r="F225" s="17" t="s">
        <v>71</v>
      </c>
      <c r="G225" s="17" t="s">
        <v>126</v>
      </c>
      <c r="H225" s="18">
        <v>193362.3600</v>
      </c>
      <c r="I225" s="18">
        <v>0</v>
      </c>
      <c r="J225" s="18">
        <f ca="1">((J224 + H225) - I225)</f>
        <v>0</v>
      </c>
      <c r="K225" s="18">
        <v>0</v>
      </c>
      <c r="L225" s="19">
        <v>0</v>
      </c>
      <c r="M225" s="17"/>
    </row>
    <row r="226" ht="10.95" customHeight="true" customFormat="true" s="9">
      <c r="A226" s="16">
        <v>45621</v>
      </c>
      <c r="B226" s="17"/>
      <c r="C226" s="17" t="s">
        <v>18</v>
      </c>
      <c r="D226" s="17" t="s">
        <v>69</v>
      </c>
      <c r="E226" s="17" t="s">
        <v>29</v>
      </c>
      <c r="F226" s="17" t="s">
        <v>39</v>
      </c>
      <c r="G226" s="17"/>
      <c r="H226" s="18">
        <v>0</v>
      </c>
      <c r="I226" s="18">
        <v>12.8700</v>
      </c>
      <c r="J226" s="18">
        <f ca="1">((J225 + H226) - I226)</f>
        <v>0</v>
      </c>
      <c r="K226" s="18">
        <v>0</v>
      </c>
      <c r="L226" s="19">
        <v>0</v>
      </c>
      <c r="M226" s="17"/>
    </row>
    <row r="227" ht="10.95" customHeight="true" customFormat="true" s="9">
      <c r="A227" s="16">
        <v>45629</v>
      </c>
      <c r="B227" s="17"/>
      <c r="C227" s="17" t="s">
        <v>18</v>
      </c>
      <c r="D227" s="17" t="s">
        <v>69</v>
      </c>
      <c r="E227" s="17" t="s">
        <v>70</v>
      </c>
      <c r="F227" s="17" t="s">
        <v>74</v>
      </c>
      <c r="G227" s="17" t="s">
        <v>127</v>
      </c>
      <c r="H227" s="18">
        <v>46221.6100</v>
      </c>
      <c r="I227" s="18">
        <v>0</v>
      </c>
      <c r="J227" s="18">
        <f ca="1">((J226 + H227) - I227)</f>
        <v>0</v>
      </c>
      <c r="K227" s="18">
        <v>0</v>
      </c>
      <c r="L227" s="19">
        <v>0</v>
      </c>
      <c r="M227" s="17"/>
    </row>
    <row r="228" ht="10.95" customHeight="true" customFormat="true" s="9">
      <c r="A228" s="16">
        <v>45629</v>
      </c>
      <c r="B228" s="17"/>
      <c r="C228" s="17" t="s">
        <v>18</v>
      </c>
      <c r="D228" s="17" t="s">
        <v>69</v>
      </c>
      <c r="E228" s="17" t="s">
        <v>29</v>
      </c>
      <c r="F228" s="17" t="s">
        <v>39</v>
      </c>
      <c r="G228" s="17"/>
      <c r="H228" s="18">
        <v>0</v>
      </c>
      <c r="I228" s="18">
        <v>28.3000</v>
      </c>
      <c r="J228" s="18">
        <f ca="1">((J227 + H228) - I228)</f>
        <v>0</v>
      </c>
      <c r="K228" s="18">
        <v>0</v>
      </c>
      <c r="L228" s="19">
        <v>0</v>
      </c>
      <c r="M228" s="17"/>
    </row>
    <row r="229" ht="10.95" customHeight="true" customFormat="true" s="9">
      <c r="A229" s="16">
        <v>45635</v>
      </c>
      <c r="B229" s="17"/>
      <c r="C229" s="17" t="s">
        <v>18</v>
      </c>
      <c r="D229" s="17" t="s">
        <v>69</v>
      </c>
      <c r="E229" s="17" t="s">
        <v>70</v>
      </c>
      <c r="F229" s="17" t="s">
        <v>71</v>
      </c>
      <c r="G229" s="17" t="s">
        <v>128</v>
      </c>
      <c r="H229" s="18">
        <v>155225.0500</v>
      </c>
      <c r="I229" s="18">
        <v>0</v>
      </c>
      <c r="J229" s="18">
        <f ca="1">((J228 + H229) - I229)</f>
        <v>0</v>
      </c>
      <c r="K229" s="18">
        <v>0</v>
      </c>
      <c r="L229" s="19">
        <v>0</v>
      </c>
      <c r="M229" s="17"/>
    </row>
    <row r="230" ht="10.95" customHeight="true" customFormat="true" s="9">
      <c r="A230" s="16">
        <v>45635</v>
      </c>
      <c r="B230" s="17"/>
      <c r="C230" s="17" t="s">
        <v>18</v>
      </c>
      <c r="D230" s="17" t="s">
        <v>69</v>
      </c>
      <c r="E230" s="17" t="s">
        <v>29</v>
      </c>
      <c r="F230" s="17" t="s">
        <v>39</v>
      </c>
      <c r="G230" s="17"/>
      <c r="H230" s="18">
        <v>0</v>
      </c>
      <c r="I230" s="18">
        <v>12.9900</v>
      </c>
      <c r="J230" s="18">
        <f ca="1">((J229 + H230) - I230)</f>
        <v>0</v>
      </c>
      <c r="K230" s="18">
        <v>0</v>
      </c>
      <c r="L230" s="19">
        <v>0</v>
      </c>
      <c r="M230" s="17"/>
    </row>
    <row r="231" ht="10.95" customHeight="true" customFormat="true" s="9">
      <c r="A231" s="16">
        <v>45643</v>
      </c>
      <c r="B231" s="17"/>
      <c r="C231" s="17" t="s">
        <v>18</v>
      </c>
      <c r="D231" s="17" t="s">
        <v>69</v>
      </c>
      <c r="E231" s="17" t="s">
        <v>20</v>
      </c>
      <c r="F231" s="17" t="s">
        <v>21</v>
      </c>
      <c r="G231" s="17"/>
      <c r="H231" s="18">
        <v>0</v>
      </c>
      <c r="I231" s="18">
        <v>39408.2500</v>
      </c>
      <c r="J231" s="18">
        <f ca="1">((J230 + H231) - I231)</f>
        <v>0</v>
      </c>
      <c r="K231" s="18">
        <v>0</v>
      </c>
      <c r="L231" s="19">
        <v>0</v>
      </c>
      <c r="M231" s="17"/>
    </row>
    <row r="232" ht="10.95" customHeight="true" customFormat="true" s="9">
      <c r="A232" s="16">
        <v>45643</v>
      </c>
      <c r="B232" s="17"/>
      <c r="C232" s="17" t="s">
        <v>18</v>
      </c>
      <c r="D232" s="17" t="s">
        <v>69</v>
      </c>
      <c r="E232" s="17" t="s">
        <v>29</v>
      </c>
      <c r="F232" s="17" t="s">
        <v>39</v>
      </c>
      <c r="G232" s="17"/>
      <c r="H232" s="18">
        <v>0</v>
      </c>
      <c r="I232" s="18">
        <v>11.1800</v>
      </c>
      <c r="J232" s="18">
        <f ca="1">((J231 + H232) - I232)</f>
        <v>0</v>
      </c>
      <c r="K232" s="18">
        <v>0</v>
      </c>
      <c r="L232" s="19">
        <v>0</v>
      </c>
      <c r="M232" s="17"/>
    </row>
    <row r="233" ht="10.95" customHeight="true" customFormat="true" s="9">
      <c r="A233" s="16">
        <v>45650</v>
      </c>
      <c r="B233" s="17"/>
      <c r="C233" s="17" t="s">
        <v>18</v>
      </c>
      <c r="D233" s="17" t="s">
        <v>69</v>
      </c>
      <c r="E233" s="17" t="s">
        <v>36</v>
      </c>
      <c r="F233" s="17" t="s">
        <v>76</v>
      </c>
      <c r="G233" s="17" t="s">
        <v>129</v>
      </c>
      <c r="H233" s="18">
        <v>0</v>
      </c>
      <c r="I233" s="18">
        <v>125732.7400</v>
      </c>
      <c r="J233" s="18">
        <f ca="1">((J232 + H233) - I233)</f>
        <v>0</v>
      </c>
      <c r="K233" s="18">
        <v>0</v>
      </c>
      <c r="L233" s="19">
        <v>0</v>
      </c>
      <c r="M233" s="17"/>
    </row>
    <row r="234" ht="10.95" customHeight="true" customFormat="true" s="9">
      <c r="A234" s="16">
        <v>45650</v>
      </c>
      <c r="B234" s="17"/>
      <c r="C234" s="17" t="s">
        <v>18</v>
      </c>
      <c r="D234" s="17" t="s">
        <v>69</v>
      </c>
      <c r="E234" s="17" t="s">
        <v>36</v>
      </c>
      <c r="F234" s="17" t="s">
        <v>76</v>
      </c>
      <c r="G234" s="17" t="s">
        <v>130</v>
      </c>
      <c r="H234" s="18">
        <v>0</v>
      </c>
      <c r="I234" s="18">
        <v>6421.4900</v>
      </c>
      <c r="J234" s="18">
        <f ca="1">((J233 + H234) - I234)</f>
        <v>0</v>
      </c>
      <c r="K234" s="18">
        <v>0</v>
      </c>
      <c r="L234" s="19">
        <v>0</v>
      </c>
      <c r="M234" s="17"/>
    </row>
    <row r="235" ht="10.95" customHeight="true" customFormat="true" s="9">
      <c r="A235" s="16">
        <v>45650</v>
      </c>
      <c r="B235" s="17"/>
      <c r="C235" s="17" t="s">
        <v>18</v>
      </c>
      <c r="D235" s="17" t="s">
        <v>69</v>
      </c>
      <c r="E235" s="17" t="s">
        <v>36</v>
      </c>
      <c r="F235" s="17" t="s">
        <v>76</v>
      </c>
      <c r="G235" s="17" t="s">
        <v>131</v>
      </c>
      <c r="H235" s="18">
        <v>0</v>
      </c>
      <c r="I235" s="18">
        <v>19254.8400</v>
      </c>
      <c r="J235" s="18">
        <f ca="1">((J234 + H235) - I235)</f>
        <v>0</v>
      </c>
      <c r="K235" s="18">
        <v>0</v>
      </c>
      <c r="L235" s="19">
        <v>0</v>
      </c>
      <c r="M235" s="17"/>
    </row>
    <row r="236" ht="10.95" customHeight="true" customFormat="true" s="9">
      <c r="A236" s="16">
        <v>45650</v>
      </c>
      <c r="B236" s="17"/>
      <c r="C236" s="17" t="s">
        <v>18</v>
      </c>
      <c r="D236" s="17" t="s">
        <v>69</v>
      </c>
      <c r="E236" s="17" t="s">
        <v>36</v>
      </c>
      <c r="F236" s="17" t="s">
        <v>76</v>
      </c>
      <c r="G236" s="17" t="s">
        <v>132</v>
      </c>
      <c r="H236" s="18">
        <v>0</v>
      </c>
      <c r="I236" s="18">
        <v>19254.8400</v>
      </c>
      <c r="J236" s="18">
        <f ca="1">((J235 + H236) - I236)</f>
        <v>0</v>
      </c>
      <c r="K236" s="18">
        <v>0</v>
      </c>
      <c r="L236" s="19">
        <v>0</v>
      </c>
      <c r="M236" s="17"/>
    </row>
    <row r="237" ht="10.95" customHeight="true" customFormat="true" s="9">
      <c r="A237" s="16">
        <v>45650</v>
      </c>
      <c r="B237" s="17"/>
      <c r="C237" s="17" t="s">
        <v>18</v>
      </c>
      <c r="D237" s="17" t="s">
        <v>69</v>
      </c>
      <c r="E237" s="17" t="s">
        <v>36</v>
      </c>
      <c r="F237" s="17" t="s">
        <v>76</v>
      </c>
      <c r="G237" s="17" t="s">
        <v>133</v>
      </c>
      <c r="H237" s="18">
        <v>0</v>
      </c>
      <c r="I237" s="18">
        <v>177582.4600</v>
      </c>
      <c r="J237" s="18">
        <f ca="1">((J236 + H237) - I237)</f>
        <v>0</v>
      </c>
      <c r="K237" s="18">
        <v>0</v>
      </c>
      <c r="L237" s="19">
        <v>0</v>
      </c>
      <c r="M237" s="17"/>
    </row>
    <row r="238" ht="10.95" customHeight="true" customFormat="true" s="9">
      <c r="A238" s="16">
        <v>45650</v>
      </c>
      <c r="B238" s="17"/>
      <c r="C238" s="17" t="s">
        <v>18</v>
      </c>
      <c r="D238" s="17" t="s">
        <v>69</v>
      </c>
      <c r="E238" s="17" t="s">
        <v>36</v>
      </c>
      <c r="F238" s="17" t="s">
        <v>76</v>
      </c>
      <c r="G238" s="17" t="s">
        <v>134</v>
      </c>
      <c r="H238" s="18">
        <v>0</v>
      </c>
      <c r="I238" s="18">
        <v>11552.9000</v>
      </c>
      <c r="J238" s="18">
        <f ca="1">((J237 + H238) - I238)</f>
        <v>0</v>
      </c>
      <c r="K238" s="18">
        <v>0</v>
      </c>
      <c r="L238" s="19">
        <v>0</v>
      </c>
      <c r="M238" s="17"/>
    </row>
    <row r="239" ht="10.95" customHeight="true" customFormat="true" s="9">
      <c r="A239" s="16">
        <v>45650</v>
      </c>
      <c r="B239" s="17"/>
      <c r="C239" s="17" t="s">
        <v>18</v>
      </c>
      <c r="D239" s="17" t="s">
        <v>69</v>
      </c>
      <c r="E239" s="17" t="s">
        <v>36</v>
      </c>
      <c r="F239" s="17" t="s">
        <v>76</v>
      </c>
      <c r="G239" s="17" t="s">
        <v>135</v>
      </c>
      <c r="H239" s="18">
        <v>0</v>
      </c>
      <c r="I239" s="18">
        <v>19254.8400</v>
      </c>
      <c r="J239" s="18">
        <f ca="1">((J238 + H239) - I239)</f>
        <v>0</v>
      </c>
      <c r="K239" s="18">
        <v>0</v>
      </c>
      <c r="L239" s="19">
        <v>0</v>
      </c>
      <c r="M239" s="17"/>
    </row>
    <row r="240" ht="10.95" customHeight="true" customFormat="true" s="9">
      <c r="A240" s="16">
        <v>45650</v>
      </c>
      <c r="B240" s="17"/>
      <c r="C240" s="17" t="s">
        <v>18</v>
      </c>
      <c r="D240" s="17" t="s">
        <v>69</v>
      </c>
      <c r="E240" s="17" t="s">
        <v>36</v>
      </c>
      <c r="F240" s="17" t="s">
        <v>76</v>
      </c>
      <c r="G240" s="17" t="s">
        <v>136</v>
      </c>
      <c r="H240" s="18">
        <v>0</v>
      </c>
      <c r="I240" s="18">
        <v>128593.2400</v>
      </c>
      <c r="J240" s="18">
        <f ca="1">((J239 + H240) - I240)</f>
        <v>0</v>
      </c>
      <c r="K240" s="18">
        <v>0</v>
      </c>
      <c r="L240" s="19">
        <v>0</v>
      </c>
      <c r="M240" s="17"/>
    </row>
    <row r="241" ht="10.95" customHeight="true" customFormat="true" s="9">
      <c r="A241" s="16">
        <v>45650</v>
      </c>
      <c r="B241" s="17"/>
      <c r="C241" s="17" t="s">
        <v>18</v>
      </c>
      <c r="D241" s="17" t="s">
        <v>69</v>
      </c>
      <c r="E241" s="17" t="s">
        <v>36</v>
      </c>
      <c r="F241" s="17" t="s">
        <v>76</v>
      </c>
      <c r="G241" s="17" t="s">
        <v>137</v>
      </c>
      <c r="H241" s="18">
        <v>0</v>
      </c>
      <c r="I241" s="18">
        <v>8651.0100</v>
      </c>
      <c r="J241" s="18">
        <f ca="1">((J240 + H241) - I241)</f>
        <v>0</v>
      </c>
      <c r="K241" s="18">
        <v>0</v>
      </c>
      <c r="L241" s="19">
        <v>0</v>
      </c>
      <c r="M241" s="17"/>
    </row>
    <row r="242" ht="10.95" customHeight="true" customFormat="true" s="9">
      <c r="A242" s="16">
        <v>45650</v>
      </c>
      <c r="B242" s="17"/>
      <c r="C242" s="17" t="s">
        <v>18</v>
      </c>
      <c r="D242" s="17" t="s">
        <v>69</v>
      </c>
      <c r="E242" s="17" t="s">
        <v>36</v>
      </c>
      <c r="F242" s="17" t="s">
        <v>76</v>
      </c>
      <c r="G242" s="17" t="s">
        <v>138</v>
      </c>
      <c r="H242" s="18">
        <v>0</v>
      </c>
      <c r="I242" s="18">
        <v>119168.5800</v>
      </c>
      <c r="J242" s="18">
        <f ca="1">((J241 + H242) - I242)</f>
        <v>0</v>
      </c>
      <c r="K242" s="18">
        <v>0</v>
      </c>
      <c r="L242" s="19">
        <v>0</v>
      </c>
      <c r="M242" s="17"/>
    </row>
    <row r="243" ht="10.95" customHeight="true" customFormat="true" s="9">
      <c r="A243" s="16">
        <v>45650</v>
      </c>
      <c r="B243" s="17"/>
      <c r="C243" s="17" t="s">
        <v>18</v>
      </c>
      <c r="D243" s="17" t="s">
        <v>69</v>
      </c>
      <c r="E243" s="17" t="s">
        <v>36</v>
      </c>
      <c r="F243" s="17" t="s">
        <v>76</v>
      </c>
      <c r="G243" s="17" t="s">
        <v>139</v>
      </c>
      <c r="H243" s="18">
        <v>0</v>
      </c>
      <c r="I243" s="18">
        <v>13987.6800</v>
      </c>
      <c r="J243" s="18">
        <f ca="1">((J242 + H243) - I243)</f>
        <v>0</v>
      </c>
      <c r="K243" s="18">
        <v>0</v>
      </c>
      <c r="L243" s="19">
        <v>0</v>
      </c>
      <c r="M243" s="17"/>
    </row>
    <row r="244" ht="10.95" customHeight="true" customFormat="true" s="9">
      <c r="A244" s="16">
        <v>45650</v>
      </c>
      <c r="B244" s="17"/>
      <c r="C244" s="17" t="s">
        <v>18</v>
      </c>
      <c r="D244" s="17" t="s">
        <v>69</v>
      </c>
      <c r="E244" s="17" t="s">
        <v>70</v>
      </c>
      <c r="F244" s="17" t="s">
        <v>71</v>
      </c>
      <c r="G244" s="17" t="s">
        <v>128</v>
      </c>
      <c r="H244" s="18">
        <v>249880.9900</v>
      </c>
      <c r="I244" s="18">
        <v>0</v>
      </c>
      <c r="J244" s="18">
        <f ca="1">((J243 + H244) - I244)</f>
        <v>0</v>
      </c>
      <c r="K244" s="18">
        <v>0</v>
      </c>
      <c r="L244" s="19">
        <v>0</v>
      </c>
      <c r="M244" s="17"/>
    </row>
    <row r="245" ht="10.95" customHeight="true" customFormat="true" s="9">
      <c r="A245" s="16">
        <v>45650</v>
      </c>
      <c r="B245" s="17"/>
      <c r="C245" s="17" t="s">
        <v>18</v>
      </c>
      <c r="D245" s="17" t="s">
        <v>69</v>
      </c>
      <c r="E245" s="17" t="s">
        <v>70</v>
      </c>
      <c r="F245" s="17" t="s">
        <v>71</v>
      </c>
      <c r="G245" s="17" t="s">
        <v>140</v>
      </c>
      <c r="H245" s="18">
        <v>144861.2700</v>
      </c>
      <c r="I245" s="18">
        <v>0</v>
      </c>
      <c r="J245" s="18">
        <f ca="1">((J244 + H245) - I245)</f>
        <v>0</v>
      </c>
      <c r="K245" s="18">
        <v>0</v>
      </c>
      <c r="L245" s="19">
        <v>0</v>
      </c>
      <c r="M245" s="17"/>
    </row>
    <row r="246" ht="10.95" customHeight="true" customFormat="true" s="9">
      <c r="A246" s="16">
        <v>45650</v>
      </c>
      <c r="B246" s="17"/>
      <c r="C246" s="17" t="s">
        <v>18</v>
      </c>
      <c r="D246" s="17" t="s">
        <v>69</v>
      </c>
      <c r="E246" s="17" t="s">
        <v>29</v>
      </c>
      <c r="F246" s="17" t="s">
        <v>39</v>
      </c>
      <c r="G246" s="17"/>
      <c r="H246" s="18">
        <v>0</v>
      </c>
      <c r="I246" s="18">
        <v>13.4500</v>
      </c>
      <c r="J246" s="18">
        <f ca="1">((J245 + H246) - I246)</f>
        <v>0</v>
      </c>
      <c r="K246" s="18">
        <v>0</v>
      </c>
      <c r="L246" s="19">
        <v>0</v>
      </c>
      <c r="M246" s="17"/>
    </row>
    <row r="247" ht="10.95" customHeight="true" customFormat="true" s="9">
      <c r="A247" s="16">
        <v>45653</v>
      </c>
      <c r="B247" s="17"/>
      <c r="C247" s="17" t="s">
        <v>18</v>
      </c>
      <c r="D247" s="17" t="s">
        <v>69</v>
      </c>
      <c r="E247" s="17" t="s">
        <v>29</v>
      </c>
      <c r="F247" s="17" t="s">
        <v>39</v>
      </c>
      <c r="G247" s="17"/>
      <c r="H247" s="18">
        <v>0</v>
      </c>
      <c r="I247" s="18">
        <v>29.5700</v>
      </c>
      <c r="J247" s="18">
        <f ca="1">((J246 + H247) - I247)</f>
        <v>0</v>
      </c>
      <c r="K247" s="18">
        <v>0</v>
      </c>
      <c r="L247" s="19">
        <v>0</v>
      </c>
      <c r="M247" s="17"/>
    </row>
    <row r="248" ht="10.95" customHeight="true" customFormat="true" s="9">
      <c r="A248" s="16">
        <v>45653</v>
      </c>
      <c r="B248" s="17"/>
      <c r="C248" s="17" t="s">
        <v>18</v>
      </c>
      <c r="D248" s="17" t="s">
        <v>69</v>
      </c>
      <c r="E248" s="17" t="s">
        <v>70</v>
      </c>
      <c r="F248" s="17" t="s">
        <v>74</v>
      </c>
      <c r="G248" s="17" t="s">
        <v>141</v>
      </c>
      <c r="H248" s="18">
        <v>48240.5900</v>
      </c>
      <c r="I248" s="18">
        <v>0</v>
      </c>
      <c r="J248" s="18">
        <f ca="1">((J247 + H248) - I248)</f>
        <v>0</v>
      </c>
      <c r="K248" s="18">
        <v>0</v>
      </c>
      <c r="L248" s="19">
        <v>0</v>
      </c>
      <c r="M248" s="17"/>
    </row>
    <row r="249" ht="10.95" customHeight="true" customFormat="true" s="9">
      <c r="A249" s="16">
        <v>45654</v>
      </c>
      <c r="B249" s="17"/>
      <c r="C249" s="17" t="s">
        <v>18</v>
      </c>
      <c r="D249" s="17" t="s">
        <v>69</v>
      </c>
      <c r="E249" s="17" t="s">
        <v>47</v>
      </c>
      <c r="F249" s="17" t="s">
        <v>87</v>
      </c>
      <c r="G249" s="17"/>
      <c r="H249" s="18">
        <v>2025.4500</v>
      </c>
      <c r="I249" s="18">
        <v>0</v>
      </c>
      <c r="J249" s="18">
        <f ca="1">((J248 + H249) - I249)</f>
        <v>0</v>
      </c>
      <c r="K249" s="18">
        <v>0</v>
      </c>
      <c r="L249" s="19">
        <v>0</v>
      </c>
      <c r="M249" s="17"/>
    </row>
    <row r="250" ht="10.95" customHeight="true" customFormat="true" s="9">
      <c r="A250" s="16">
        <v>45666</v>
      </c>
      <c r="B250" s="17"/>
      <c r="C250" s="17" t="s">
        <v>18</v>
      </c>
      <c r="D250" s="17" t="s">
        <v>69</v>
      </c>
      <c r="E250" s="17" t="s">
        <v>70</v>
      </c>
      <c r="F250" s="17" t="s">
        <v>71</v>
      </c>
      <c r="G250" s="17" t="s">
        <v>142</v>
      </c>
      <c r="H250" s="18">
        <v>140802.6500</v>
      </c>
      <c r="I250" s="18">
        <v>0</v>
      </c>
      <c r="J250" s="18">
        <f ca="1">((J249 + H250) - I250)</f>
        <v>0</v>
      </c>
      <c r="K250" s="18">
        <v>0</v>
      </c>
      <c r="L250" s="19">
        <v>0</v>
      </c>
      <c r="M250" s="17"/>
    </row>
    <row r="251" ht="10.95" customHeight="true" customFormat="true" s="9">
      <c r="A251" s="16">
        <v>45666</v>
      </c>
      <c r="B251" s="17"/>
      <c r="C251" s="17" t="s">
        <v>18</v>
      </c>
      <c r="D251" s="17" t="s">
        <v>69</v>
      </c>
      <c r="E251" s="17" t="s">
        <v>70</v>
      </c>
      <c r="F251" s="17" t="s">
        <v>71</v>
      </c>
      <c r="G251" s="17" t="s">
        <v>143</v>
      </c>
      <c r="H251" s="18">
        <v>315.3000</v>
      </c>
      <c r="I251" s="18">
        <v>0</v>
      </c>
      <c r="J251" s="18">
        <f ca="1">((J250 + H251) - I251)</f>
        <v>0</v>
      </c>
      <c r="K251" s="18">
        <v>0</v>
      </c>
      <c r="L251" s="19">
        <v>0</v>
      </c>
      <c r="M251" s="17"/>
    </row>
    <row r="252" ht="10.95" customHeight="true" customFormat="true" s="9">
      <c r="A252" s="16">
        <v>45666</v>
      </c>
      <c r="B252" s="17"/>
      <c r="C252" s="17" t="s">
        <v>18</v>
      </c>
      <c r="D252" s="17" t="s">
        <v>69</v>
      </c>
      <c r="E252" s="17" t="s">
        <v>70</v>
      </c>
      <c r="F252" s="17" t="s">
        <v>71</v>
      </c>
      <c r="G252" s="17" t="s">
        <v>144</v>
      </c>
      <c r="H252" s="18">
        <v>2122.4200</v>
      </c>
      <c r="I252" s="18">
        <v>0</v>
      </c>
      <c r="J252" s="18">
        <f ca="1">((J251 + H252) - I252)</f>
        <v>0</v>
      </c>
      <c r="K252" s="18">
        <v>0</v>
      </c>
      <c r="L252" s="19">
        <v>0</v>
      </c>
      <c r="M252" s="17"/>
    </row>
    <row r="253" ht="10.95" customHeight="true" customFormat="true" s="9">
      <c r="A253" s="16">
        <v>45666</v>
      </c>
      <c r="B253" s="17"/>
      <c r="C253" s="17" t="s">
        <v>18</v>
      </c>
      <c r="D253" s="17" t="s">
        <v>69</v>
      </c>
      <c r="E253" s="17" t="s">
        <v>29</v>
      </c>
      <c r="F253" s="17" t="s">
        <v>39</v>
      </c>
      <c r="G253" s="17"/>
      <c r="H253" s="18">
        <v>0</v>
      </c>
      <c r="I253" s="18">
        <v>13.5000</v>
      </c>
      <c r="J253" s="18">
        <f ca="1">((J252 + H253) - I253)</f>
        <v>0</v>
      </c>
      <c r="K253" s="18">
        <v>0</v>
      </c>
      <c r="L253" s="19">
        <v>0</v>
      </c>
      <c r="M253" s="17"/>
    </row>
    <row r="254" ht="10.95" customHeight="true" customFormat="true" s="9">
      <c r="A254" s="16">
        <v>45677</v>
      </c>
      <c r="B254" s="17"/>
      <c r="C254" s="17" t="s">
        <v>18</v>
      </c>
      <c r="D254" s="17" t="s">
        <v>69</v>
      </c>
      <c r="E254" s="17" t="s">
        <v>20</v>
      </c>
      <c r="F254" s="17" t="s">
        <v>21</v>
      </c>
      <c r="G254" s="17"/>
      <c r="H254" s="18">
        <v>0</v>
      </c>
      <c r="I254" s="18">
        <v>32232.5900</v>
      </c>
      <c r="J254" s="18">
        <f ca="1">((J253 + H254) - I254)</f>
        <v>0</v>
      </c>
      <c r="K254" s="18">
        <v>0</v>
      </c>
      <c r="L254" s="19">
        <v>0</v>
      </c>
      <c r="M254" s="17"/>
    </row>
    <row r="255" ht="10.95" customHeight="true" customFormat="true" s="9">
      <c r="A255" s="16">
        <v>45677</v>
      </c>
      <c r="B255" s="17"/>
      <c r="C255" s="17" t="s">
        <v>18</v>
      </c>
      <c r="D255" s="17" t="s">
        <v>69</v>
      </c>
      <c r="E255" s="17" t="s">
        <v>29</v>
      </c>
      <c r="F255" s="17" t="s">
        <v>39</v>
      </c>
      <c r="G255" s="17"/>
      <c r="H255" s="18">
        <v>0</v>
      </c>
      <c r="I255" s="18">
        <v>11.4100</v>
      </c>
      <c r="J255" s="18">
        <f ca="1">((J254 + H255) - I255)</f>
        <v>0</v>
      </c>
      <c r="K255" s="18">
        <v>0</v>
      </c>
      <c r="L255" s="19">
        <v>0</v>
      </c>
      <c r="M255" s="17"/>
    </row>
    <row r="256" ht="10.95" customHeight="true" customFormat="true" s="9">
      <c r="A256" s="16">
        <v>45685</v>
      </c>
      <c r="B256" s="17"/>
      <c r="C256" s="17" t="s">
        <v>18</v>
      </c>
      <c r="D256" s="17" t="s">
        <v>69</v>
      </c>
      <c r="E256" s="17" t="s">
        <v>70</v>
      </c>
      <c r="F256" s="17" t="s">
        <v>74</v>
      </c>
      <c r="G256" s="17" t="s">
        <v>145</v>
      </c>
      <c r="H256" s="18">
        <v>48016.8300</v>
      </c>
      <c r="I256" s="18">
        <v>0</v>
      </c>
      <c r="J256" s="18">
        <f ca="1">((J255 + H256) - I256)</f>
        <v>0</v>
      </c>
      <c r="K256" s="18">
        <v>0</v>
      </c>
      <c r="L256" s="19">
        <v>0</v>
      </c>
      <c r="M256" s="17"/>
    </row>
    <row r="257" ht="10.95" customHeight="true" customFormat="true" s="9">
      <c r="A257" s="16">
        <v>45685</v>
      </c>
      <c r="B257" s="17"/>
      <c r="C257" s="17" t="s">
        <v>18</v>
      </c>
      <c r="D257" s="17" t="s">
        <v>69</v>
      </c>
      <c r="E257" s="17" t="s">
        <v>29</v>
      </c>
      <c r="F257" s="17" t="s">
        <v>39</v>
      </c>
      <c r="G257" s="17"/>
      <c r="H257" s="18">
        <v>0</v>
      </c>
      <c r="I257" s="18">
        <v>29.3900</v>
      </c>
      <c r="J257" s="18">
        <f ca="1">((J256 + H257) - I257)</f>
        <v>0</v>
      </c>
      <c r="K257" s="18">
        <v>0</v>
      </c>
      <c r="L257" s="19">
        <v>0</v>
      </c>
      <c r="M257" s="17"/>
    </row>
    <row r="258" ht="10.95" customHeight="true" customFormat="true" s="9">
      <c r="A258" s="16">
        <v>45712</v>
      </c>
      <c r="B258" s="17"/>
      <c r="C258" s="17" t="s">
        <v>18</v>
      </c>
      <c r="D258" s="17" t="s">
        <v>69</v>
      </c>
      <c r="E258" s="17" t="s">
        <v>70</v>
      </c>
      <c r="F258" s="17" t="s">
        <v>71</v>
      </c>
      <c r="G258" s="17" t="s">
        <v>146</v>
      </c>
      <c r="H258" s="18">
        <v>47293.7300</v>
      </c>
      <c r="I258" s="18">
        <v>0</v>
      </c>
      <c r="J258" s="18">
        <f ca="1">((J257 + H258) - I258)</f>
        <v>0</v>
      </c>
      <c r="K258" s="18">
        <v>0</v>
      </c>
      <c r="L258" s="19">
        <v>0</v>
      </c>
      <c r="M258" s="17"/>
    </row>
    <row r="259" ht="10.95" customHeight="true" customFormat="true" s="9">
      <c r="A259" s="16">
        <v>45712</v>
      </c>
      <c r="B259" s="17"/>
      <c r="C259" s="17" t="s">
        <v>18</v>
      </c>
      <c r="D259" s="17" t="s">
        <v>69</v>
      </c>
      <c r="E259" s="17" t="s">
        <v>29</v>
      </c>
      <c r="F259" s="17" t="s">
        <v>39</v>
      </c>
      <c r="G259" s="17"/>
      <c r="H259" s="18">
        <v>0</v>
      </c>
      <c r="I259" s="18">
        <v>13.1600</v>
      </c>
      <c r="J259" s="18">
        <f ca="1">((J258 + H259) - I259)</f>
        <v>0</v>
      </c>
      <c r="K259" s="18">
        <v>0</v>
      </c>
      <c r="L259" s="19">
        <v>0</v>
      </c>
      <c r="M259" s="17"/>
    </row>
    <row r="260" ht="10.95" customHeight="true" customFormat="true" s="9">
      <c r="A260" s="16">
        <v>45712</v>
      </c>
      <c r="B260" s="17"/>
      <c r="C260" s="17" t="s">
        <v>18</v>
      </c>
      <c r="D260" s="17" t="s">
        <v>69</v>
      </c>
      <c r="E260" s="17" t="s">
        <v>29</v>
      </c>
      <c r="F260" s="17" t="s">
        <v>39</v>
      </c>
      <c r="G260" s="17"/>
      <c r="H260" s="18">
        <v>0</v>
      </c>
      <c r="I260" s="18">
        <v>11.1300</v>
      </c>
      <c r="J260" s="18">
        <f ca="1">((J259 + H260) - I260)</f>
        <v>0</v>
      </c>
      <c r="K260" s="18">
        <v>0</v>
      </c>
      <c r="L260" s="19">
        <v>0</v>
      </c>
      <c r="M260" s="17"/>
    </row>
    <row r="261" ht="10.95" customHeight="true" customFormat="true" s="9">
      <c r="A261" s="16">
        <v>45713</v>
      </c>
      <c r="B261" s="17"/>
      <c r="C261" s="17" t="s">
        <v>18</v>
      </c>
      <c r="D261" s="17" t="s">
        <v>69</v>
      </c>
      <c r="E261" s="17" t="s">
        <v>20</v>
      </c>
      <c r="F261" s="17" t="s">
        <v>41</v>
      </c>
      <c r="G261" s="17"/>
      <c r="H261" s="18">
        <v>0</v>
      </c>
      <c r="I261" s="18">
        <v>39235.9400</v>
      </c>
      <c r="J261" s="18">
        <f ca="1">((J260 + H261) - I261)</f>
        <v>0</v>
      </c>
      <c r="K261" s="18">
        <v>0</v>
      </c>
      <c r="L261" s="19">
        <v>0</v>
      </c>
      <c r="M261" s="17"/>
    </row>
    <row r="262" ht="10.95" customHeight="true" customFormat="true" s="9">
      <c r="A262" s="16">
        <v>45720</v>
      </c>
      <c r="B262" s="17"/>
      <c r="C262" s="17" t="s">
        <v>18</v>
      </c>
      <c r="D262" s="17" t="s">
        <v>69</v>
      </c>
      <c r="E262" s="17" t="s">
        <v>70</v>
      </c>
      <c r="F262" s="17" t="s">
        <v>74</v>
      </c>
      <c r="G262" s="17" t="s">
        <v>147</v>
      </c>
      <c r="H262" s="18">
        <v>48101.1300</v>
      </c>
      <c r="I262" s="18">
        <v>0</v>
      </c>
      <c r="J262" s="18">
        <f ca="1">((J261 + H262) - I262)</f>
        <v>0</v>
      </c>
      <c r="K262" s="18">
        <v>0</v>
      </c>
      <c r="L262" s="19">
        <v>0</v>
      </c>
      <c r="M262" s="17"/>
    </row>
    <row r="263" ht="10.95" customHeight="true" customFormat="true" s="9">
      <c r="A263" s="16">
        <v>45720</v>
      </c>
      <c r="B263" s="17"/>
      <c r="C263" s="17" t="s">
        <v>18</v>
      </c>
      <c r="D263" s="17" t="s">
        <v>69</v>
      </c>
      <c r="E263" s="17" t="s">
        <v>29</v>
      </c>
      <c r="F263" s="17" t="s">
        <v>39</v>
      </c>
      <c r="G263" s="17"/>
      <c r="H263" s="18">
        <v>0</v>
      </c>
      <c r="I263" s="18">
        <v>29.4500</v>
      </c>
      <c r="J263" s="18">
        <f ca="1">((J262 + H263) - I263)</f>
        <v>0</v>
      </c>
      <c r="K263" s="18">
        <v>0</v>
      </c>
      <c r="L263" s="19">
        <v>0</v>
      </c>
      <c r="M263" s="17"/>
    </row>
    <row r="264" ht="10.95" customHeight="true" customFormat="true" s="9">
      <c r="A264" s="16">
        <v>45735</v>
      </c>
      <c r="B264" s="17"/>
      <c r="C264" s="17" t="s">
        <v>18</v>
      </c>
      <c r="D264" s="17" t="s">
        <v>69</v>
      </c>
      <c r="E264" s="17" t="s">
        <v>29</v>
      </c>
      <c r="F264" s="17" t="s">
        <v>39</v>
      </c>
      <c r="G264" s="17"/>
      <c r="H264" s="18">
        <v>0</v>
      </c>
      <c r="I264" s="18">
        <v>13.2300</v>
      </c>
      <c r="J264" s="18">
        <f ca="1">((J263 + H264) - I264)</f>
        <v>0</v>
      </c>
      <c r="K264" s="18">
        <v>0</v>
      </c>
      <c r="L264" s="19">
        <v>0</v>
      </c>
      <c r="M264" s="17"/>
    </row>
    <row r="265" ht="10.95" customHeight="true" customFormat="true" s="9">
      <c r="A265" s="16">
        <v>45735</v>
      </c>
      <c r="B265" s="17"/>
      <c r="C265" s="17" t="s">
        <v>18</v>
      </c>
      <c r="D265" s="17" t="s">
        <v>69</v>
      </c>
      <c r="E265" s="17" t="s">
        <v>70</v>
      </c>
      <c r="F265" s="17" t="s">
        <v>71</v>
      </c>
      <c r="G265" s="17" t="s">
        <v>148</v>
      </c>
      <c r="H265" s="18">
        <v>47349.0100</v>
      </c>
      <c r="I265" s="18">
        <v>0</v>
      </c>
      <c r="J265" s="18">
        <f ca="1">((J264 + H265) - I265)</f>
        <v>0</v>
      </c>
      <c r="K265" s="18">
        <v>0</v>
      </c>
      <c r="L265" s="19">
        <v>0</v>
      </c>
      <c r="M265" s="17"/>
    </row>
    <row r="266" ht="10.95" customHeight="true" customFormat="true" s="9">
      <c r="A266" s="16">
        <v>45737</v>
      </c>
      <c r="B266" s="17"/>
      <c r="C266" s="17" t="s">
        <v>18</v>
      </c>
      <c r="D266" s="17" t="s">
        <v>69</v>
      </c>
      <c r="E266" s="17" t="s">
        <v>20</v>
      </c>
      <c r="F266" s="17" t="s">
        <v>21</v>
      </c>
      <c r="G266" s="17"/>
      <c r="H266" s="18">
        <v>0</v>
      </c>
      <c r="I266" s="18">
        <v>63561.5800</v>
      </c>
      <c r="J266" s="18">
        <f ca="1">((J265 + H266) - I266)</f>
        <v>0</v>
      </c>
      <c r="K266" s="18">
        <v>0</v>
      </c>
      <c r="L266" s="19">
        <v>0</v>
      </c>
      <c r="M266" s="17"/>
    </row>
    <row r="267" ht="10.95" customHeight="true" customFormat="true" s="9">
      <c r="A267" s="16">
        <v>45737</v>
      </c>
      <c r="B267" s="17"/>
      <c r="C267" s="17" t="s">
        <v>18</v>
      </c>
      <c r="D267" s="17" t="s">
        <v>69</v>
      </c>
      <c r="E267" s="17" t="s">
        <v>29</v>
      </c>
      <c r="F267" s="17" t="s">
        <v>39</v>
      </c>
      <c r="G267" s="17"/>
      <c r="H267" s="18">
        <v>0</v>
      </c>
      <c r="I267" s="18">
        <v>11.2700</v>
      </c>
      <c r="J267" s="18">
        <f ca="1">((J266 + H267) - I267)</f>
        <v>0</v>
      </c>
      <c r="K267" s="18">
        <v>0</v>
      </c>
      <c r="L267" s="19">
        <v>0</v>
      </c>
      <c r="M267" s="17"/>
    </row>
    <row r="268" ht="10.95" customHeight="true" customFormat="true" s="9">
      <c r="A268" s="16">
        <v>45747</v>
      </c>
      <c r="B268" s="17"/>
      <c r="C268" s="17" t="s">
        <v>18</v>
      </c>
      <c r="D268" s="17" t="s">
        <v>69</v>
      </c>
      <c r="E268" s="17"/>
      <c r="F268" s="17" t="s">
        <v>23</v>
      </c>
      <c r="G268" s="17"/>
      <c r="H268" s="18">
        <v>4058.6600</v>
      </c>
      <c r="I268" s="18">
        <v>0</v>
      </c>
      <c r="J268" s="18">
        <f ca="1">((J267 + H268) - I268)</f>
        <v>0</v>
      </c>
      <c r="K268" s="18">
        <v>0</v>
      </c>
      <c r="L268" s="19">
        <v>0</v>
      </c>
      <c r="M268" s="17"/>
    </row>
    <row r="269" ht="10.95" customHeight="true" customFormat="true" s="9">
      <c r="A269" s="20" t="s">
        <v>149</v>
      </c>
      <c r="B269" s="20"/>
      <c r="C269" s="20"/>
      <c r="D269" s="20"/>
      <c r="E269" s="20"/>
      <c r="F269" s="20"/>
      <c r="G269" s="20"/>
      <c r="H269" s="21">
        <f ca="1">SUM(H139:H268)</f>
        <v>0</v>
      </c>
      <c r="I269" s="21">
        <f ca="1">SUM(I139:I268)</f>
        <v>0</v>
      </c>
      <c r="J269" s="21">
        <f ca="1">J268</f>
        <v>0</v>
      </c>
      <c r="K269" s="21">
        <f ca="1">SUM(K139:K268)</f>
        <v>0</v>
      </c>
      <c r="L269" s="20"/>
      <c r="M269" s="20"/>
    </row>
    <row r="270" ht="10.95" customHeight="true" customFormat="true" s="9">
      <c r="A270" s="20" t="s">
        <v>25</v>
      </c>
      <c r="B270" s="20"/>
      <c r="C270" s="20"/>
      <c r="D270" s="20"/>
      <c r="E270" s="20"/>
      <c r="F270" s="20"/>
      <c r="G270" s="20"/>
      <c r="H270" s="21">
        <v>390777.7500</v>
      </c>
      <c r="I270" s="21">
        <v>0</v>
      </c>
      <c r="J270" s="21">
        <v>0</v>
      </c>
      <c r="K270" s="21">
        <v>0</v>
      </c>
      <c r="L270" s="20"/>
      <c r="M270" s="20"/>
    </row>
    <row r="271" ht="10.95" customHeight="true" customFormat="true" s="9">
      <c r="A271" s="10" t="s">
        <v>26</v>
      </c>
      <c r="B271" s="10"/>
      <c r="C271" s="10"/>
      <c r="D271" s="10"/>
      <c r="E271" s="10"/>
      <c r="F271" s="10"/>
      <c r="G271" s="10"/>
      <c r="H271" s="11">
        <v>697595.3600</v>
      </c>
      <c r="I271" s="11">
        <v>0</v>
      </c>
      <c r="J271" s="11">
        <f ca="1">J268</f>
        <v>0</v>
      </c>
      <c r="K271" s="11">
        <v>0</v>
      </c>
      <c r="L271" s="10"/>
      <c r="M271" s="10"/>
    </row>
    <row r="272" ht="13.35" customHeight="true"/>
    <row r="273" ht="12.1" customHeight="true" customFormat="true" s="5">
      <c r="A273" s="8" t="s">
        <v>150</v>
      </c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</row>
    <row r="274" ht="10.95" customHeight="true" customFormat="true" s="9">
      <c r="A274" s="10" t="s">
        <v>17</v>
      </c>
      <c r="B274" s="10"/>
      <c r="C274" s="10"/>
      <c r="D274" s="10"/>
      <c r="E274" s="10"/>
      <c r="F274" s="10"/>
      <c r="G274" s="10"/>
      <c r="H274" s="11">
        <v>0</v>
      </c>
      <c r="I274" s="11">
        <v>0</v>
      </c>
      <c r="J274" s="11">
        <f ca="1">(H274 - I274)</f>
        <v>0</v>
      </c>
      <c r="K274" s="11">
        <v>0</v>
      </c>
      <c r="L274" s="10"/>
      <c r="M274" s="10"/>
    </row>
    <row r="275" ht="10.95" customHeight="true" customFormat="true" s="9">
      <c r="A275" s="12">
        <v>45747</v>
      </c>
      <c r="B275" s="13" t="s">
        <v>151</v>
      </c>
      <c r="C275" s="13" t="s">
        <v>152</v>
      </c>
      <c r="D275" s="13" t="s">
        <v>153</v>
      </c>
      <c r="E275" s="13" t="s">
        <v>154</v>
      </c>
      <c r="F275" s="13" t="s">
        <v>155</v>
      </c>
      <c r="G275" s="13" t="s">
        <v>156</v>
      </c>
      <c r="H275" s="14">
        <v>4.4300</v>
      </c>
      <c r="I275" s="14">
        <v>0</v>
      </c>
      <c r="J275" s="14">
        <f ca="1">((J274 + H275) - I275)</f>
        <v>0</v>
      </c>
      <c r="K275" s="14">
        <v>0</v>
      </c>
      <c r="L275" s="15">
        <v>0</v>
      </c>
      <c r="M275" s="13" t="s">
        <v>157</v>
      </c>
    </row>
    <row r="276" ht="10.95" customHeight="true" customFormat="true" s="9">
      <c r="A276" s="20" t="s">
        <v>158</v>
      </c>
      <c r="B276" s="20"/>
      <c r="C276" s="20"/>
      <c r="D276" s="20"/>
      <c r="E276" s="20"/>
      <c r="F276" s="20"/>
      <c r="G276" s="20"/>
      <c r="H276" s="21">
        <f ca="1">H275</f>
        <v>0</v>
      </c>
      <c r="I276" s="21">
        <f ca="1">I275</f>
        <v>0</v>
      </c>
      <c r="J276" s="21">
        <f ca="1">J275</f>
        <v>0</v>
      </c>
      <c r="K276" s="21">
        <f ca="1">K275</f>
        <v>0</v>
      </c>
      <c r="L276" s="20"/>
      <c r="M276" s="20"/>
    </row>
    <row r="277" ht="10.95" customHeight="true" customFormat="true" s="9">
      <c r="A277" s="20" t="s">
        <v>25</v>
      </c>
      <c r="B277" s="20"/>
      <c r="C277" s="20"/>
      <c r="D277" s="20"/>
      <c r="E277" s="20"/>
      <c r="F277" s="20"/>
      <c r="G277" s="20"/>
      <c r="H277" s="21">
        <v>4.4300</v>
      </c>
      <c r="I277" s="21">
        <v>0</v>
      </c>
      <c r="J277" s="21">
        <v>0</v>
      </c>
      <c r="K277" s="21">
        <v>0</v>
      </c>
      <c r="L277" s="20"/>
      <c r="M277" s="20"/>
    </row>
    <row r="278" ht="10.95" customHeight="true" customFormat="true" s="9">
      <c r="A278" s="10" t="s">
        <v>26</v>
      </c>
      <c r="B278" s="10"/>
      <c r="C278" s="10"/>
      <c r="D278" s="10"/>
      <c r="E278" s="10"/>
      <c r="F278" s="10"/>
      <c r="G278" s="10"/>
      <c r="H278" s="11">
        <v>4.4300</v>
      </c>
      <c r="I278" s="11">
        <v>0</v>
      </c>
      <c r="J278" s="11">
        <f ca="1">J275</f>
        <v>0</v>
      </c>
      <c r="K278" s="11">
        <v>0</v>
      </c>
      <c r="L278" s="10"/>
      <c r="M278" s="10"/>
    </row>
    <row r="279" ht="13.35" customHeight="true"/>
    <row r="280" ht="12.1" customHeight="true" customFormat="true" s="5">
      <c r="A280" s="8" t="s">
        <v>159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</row>
    <row r="281" ht="10.95" customHeight="true" customFormat="true" s="9">
      <c r="A281" s="10" t="s">
        <v>17</v>
      </c>
      <c r="B281" s="10"/>
      <c r="C281" s="10"/>
      <c r="D281" s="10"/>
      <c r="E281" s="10"/>
      <c r="F281" s="10"/>
      <c r="G281" s="10"/>
      <c r="H281" s="11">
        <v>0</v>
      </c>
      <c r="I281" s="11">
        <v>0</v>
      </c>
      <c r="J281" s="11">
        <f ca="1">(H281 - I281)</f>
        <v>0</v>
      </c>
      <c r="K281" s="11">
        <v>0</v>
      </c>
      <c r="L281" s="10"/>
      <c r="M281" s="10"/>
    </row>
    <row r="282" ht="21.3" customHeight="true" customFormat="true" s="9">
      <c r="A282" s="12">
        <v>45412</v>
      </c>
      <c r="B282" s="13" t="s">
        <v>160</v>
      </c>
      <c r="C282" s="13" t="s">
        <v>161</v>
      </c>
      <c r="D282" s="13" t="s">
        <v>162</v>
      </c>
      <c r="E282" s="13" t="s">
        <v>163</v>
      </c>
      <c r="F282" s="22" t="s">
        <v>164</v>
      </c>
      <c r="G282" s="13" t="s">
        <v>75</v>
      </c>
      <c r="H282" s="14">
        <v>0</v>
      </c>
      <c r="I282" s="14">
        <v>46160.7300</v>
      </c>
      <c r="J282" s="14">
        <f ca="1">((J281 + H282) - I282)</f>
        <v>0</v>
      </c>
      <c r="K282" s="14">
        <v>0</v>
      </c>
      <c r="L282" s="15">
        <v>0</v>
      </c>
      <c r="M282" s="13" t="s">
        <v>165</v>
      </c>
    </row>
    <row r="283" ht="21.3" customHeight="true" customFormat="true" s="9">
      <c r="A283" s="16">
        <v>45443</v>
      </c>
      <c r="B283" s="17" t="s">
        <v>160</v>
      </c>
      <c r="C283" s="17" t="s">
        <v>161</v>
      </c>
      <c r="D283" s="17" t="s">
        <v>162</v>
      </c>
      <c r="E283" s="17" t="s">
        <v>163</v>
      </c>
      <c r="F283" s="23" t="s">
        <v>164</v>
      </c>
      <c r="G283" s="17" t="s">
        <v>85</v>
      </c>
      <c r="H283" s="18">
        <v>0</v>
      </c>
      <c r="I283" s="18">
        <v>44999.3700</v>
      </c>
      <c r="J283" s="18">
        <f ca="1">((J282 + H283) - I283)</f>
        <v>0</v>
      </c>
      <c r="K283" s="18">
        <v>0</v>
      </c>
      <c r="L283" s="19">
        <v>0</v>
      </c>
      <c r="M283" s="17" t="s">
        <v>165</v>
      </c>
    </row>
    <row r="284" ht="10.95" customHeight="true" customFormat="true" s="9">
      <c r="A284" s="16">
        <v>45473</v>
      </c>
      <c r="B284" s="17" t="s">
        <v>160</v>
      </c>
      <c r="C284" s="17" t="s">
        <v>161</v>
      </c>
      <c r="D284" s="17" t="s">
        <v>162</v>
      </c>
      <c r="E284" s="17" t="s">
        <v>163</v>
      </c>
      <c r="F284" s="17" t="s">
        <v>166</v>
      </c>
      <c r="G284" s="17" t="s">
        <v>86</v>
      </c>
      <c r="H284" s="18">
        <v>0</v>
      </c>
      <c r="I284" s="18">
        <v>45160.3200</v>
      </c>
      <c r="J284" s="18">
        <f ca="1">((J283 + H284) - I284)</f>
        <v>0</v>
      </c>
      <c r="K284" s="18">
        <v>0</v>
      </c>
      <c r="L284" s="19">
        <v>0</v>
      </c>
      <c r="M284" s="17" t="s">
        <v>157</v>
      </c>
    </row>
    <row r="285" ht="10.95" customHeight="true" customFormat="true" s="9">
      <c r="A285" s="16">
        <v>45504</v>
      </c>
      <c r="B285" s="17" t="s">
        <v>160</v>
      </c>
      <c r="C285" s="17" t="s">
        <v>161</v>
      </c>
      <c r="D285" s="17" t="s">
        <v>162</v>
      </c>
      <c r="E285" s="17" t="s">
        <v>163</v>
      </c>
      <c r="F285" s="17" t="s">
        <v>166</v>
      </c>
      <c r="G285" s="17" t="s">
        <v>91</v>
      </c>
      <c r="H285" s="18">
        <v>0</v>
      </c>
      <c r="I285" s="18">
        <v>45977.7200</v>
      </c>
      <c r="J285" s="18">
        <f ca="1">((J284 + H285) - I285)</f>
        <v>0</v>
      </c>
      <c r="K285" s="18">
        <v>0</v>
      </c>
      <c r="L285" s="19">
        <v>0</v>
      </c>
      <c r="M285" s="17" t="s">
        <v>157</v>
      </c>
    </row>
    <row r="286" ht="10.95" customHeight="true" customFormat="true" s="9">
      <c r="A286" s="16">
        <v>45535</v>
      </c>
      <c r="B286" s="17" t="s">
        <v>160</v>
      </c>
      <c r="C286" s="17" t="s">
        <v>161</v>
      </c>
      <c r="D286" s="17" t="s">
        <v>162</v>
      </c>
      <c r="E286" s="17" t="s">
        <v>163</v>
      </c>
      <c r="F286" s="17" t="s">
        <v>166</v>
      </c>
      <c r="G286" s="17" t="s">
        <v>94</v>
      </c>
      <c r="H286" s="18">
        <v>0</v>
      </c>
      <c r="I286" s="18">
        <v>44346.6200</v>
      </c>
      <c r="J286" s="18">
        <f ca="1">((J285 + H286) - I286)</f>
        <v>0</v>
      </c>
      <c r="K286" s="18">
        <v>0</v>
      </c>
      <c r="L286" s="19">
        <v>0</v>
      </c>
      <c r="M286" s="17" t="s">
        <v>157</v>
      </c>
    </row>
    <row r="287" ht="10.95" customHeight="true" customFormat="true" s="9">
      <c r="A287" s="16">
        <v>45565</v>
      </c>
      <c r="B287" s="17" t="s">
        <v>160</v>
      </c>
      <c r="C287" s="17" t="s">
        <v>161</v>
      </c>
      <c r="D287" s="17" t="s">
        <v>162</v>
      </c>
      <c r="E287" s="17" t="s">
        <v>163</v>
      </c>
      <c r="F287" s="17" t="s">
        <v>166</v>
      </c>
      <c r="G287" s="17" t="s">
        <v>113</v>
      </c>
      <c r="H287" s="18">
        <v>0</v>
      </c>
      <c r="I287" s="18">
        <v>43299.9200</v>
      </c>
      <c r="J287" s="18">
        <f ca="1">((J286 + H287) - I287)</f>
        <v>0</v>
      </c>
      <c r="K287" s="18">
        <v>0</v>
      </c>
      <c r="L287" s="19">
        <v>0</v>
      </c>
      <c r="M287" s="17" t="s">
        <v>157</v>
      </c>
    </row>
    <row r="288" ht="10.95" customHeight="true" customFormat="true" s="9">
      <c r="A288" s="16">
        <v>45565</v>
      </c>
      <c r="B288" s="17" t="s">
        <v>160</v>
      </c>
      <c r="C288" s="17" t="s">
        <v>161</v>
      </c>
      <c r="D288" s="17" t="s">
        <v>162</v>
      </c>
      <c r="E288" s="17" t="s">
        <v>154</v>
      </c>
      <c r="F288" s="17" t="s">
        <v>167</v>
      </c>
      <c r="G288" s="17" t="s">
        <v>168</v>
      </c>
      <c r="H288" s="18">
        <v>0.2100</v>
      </c>
      <c r="I288" s="18">
        <v>0</v>
      </c>
      <c r="J288" s="18">
        <f ca="1">((J287 + H288) - I288)</f>
        <v>0</v>
      </c>
      <c r="K288" s="18">
        <v>0</v>
      </c>
      <c r="L288" s="19">
        <v>0</v>
      </c>
      <c r="M288" s="17" t="s">
        <v>157</v>
      </c>
    </row>
    <row r="289" ht="10.95" customHeight="true" customFormat="true" s="9">
      <c r="A289" s="16">
        <v>45596</v>
      </c>
      <c r="B289" s="17" t="s">
        <v>160</v>
      </c>
      <c r="C289" s="17" t="s">
        <v>161</v>
      </c>
      <c r="D289" s="17" t="s">
        <v>162</v>
      </c>
      <c r="E289" s="17" t="s">
        <v>163</v>
      </c>
      <c r="F289" s="17" t="s">
        <v>166</v>
      </c>
      <c r="G289" s="17" t="s">
        <v>118</v>
      </c>
      <c r="H289" s="18">
        <v>0</v>
      </c>
      <c r="I289" s="18">
        <v>45654.6000</v>
      </c>
      <c r="J289" s="18">
        <f ca="1">((J288 + H289) - I289)</f>
        <v>0</v>
      </c>
      <c r="K289" s="18">
        <v>0</v>
      </c>
      <c r="L289" s="19">
        <v>0</v>
      </c>
      <c r="M289" s="17" t="s">
        <v>157</v>
      </c>
    </row>
    <row r="290" ht="10.95" customHeight="true" customFormat="true" s="9">
      <c r="A290" s="16">
        <v>45626</v>
      </c>
      <c r="B290" s="17" t="s">
        <v>160</v>
      </c>
      <c r="C290" s="17" t="s">
        <v>161</v>
      </c>
      <c r="D290" s="17" t="s">
        <v>162</v>
      </c>
      <c r="E290" s="17" t="s">
        <v>163</v>
      </c>
      <c r="F290" s="17" t="s">
        <v>166</v>
      </c>
      <c r="G290" s="17" t="s">
        <v>127</v>
      </c>
      <c r="H290" s="18">
        <v>0</v>
      </c>
      <c r="I290" s="18">
        <v>46075.2300</v>
      </c>
      <c r="J290" s="18">
        <f ca="1">((J289 + H290) - I290)</f>
        <v>0</v>
      </c>
      <c r="K290" s="18">
        <v>0</v>
      </c>
      <c r="L290" s="19">
        <v>0</v>
      </c>
      <c r="M290" s="17" t="s">
        <v>157</v>
      </c>
    </row>
    <row r="291" ht="10.95" customHeight="true" customFormat="true" s="9">
      <c r="A291" s="16">
        <v>45657</v>
      </c>
      <c r="B291" s="17" t="s">
        <v>160</v>
      </c>
      <c r="C291" s="17" t="s">
        <v>161</v>
      </c>
      <c r="D291" s="17" t="s">
        <v>162</v>
      </c>
      <c r="E291" s="17" t="s">
        <v>163</v>
      </c>
      <c r="F291" s="17" t="s">
        <v>166</v>
      </c>
      <c r="G291" s="17" t="s">
        <v>141</v>
      </c>
      <c r="H291" s="18">
        <v>0</v>
      </c>
      <c r="I291" s="18">
        <v>48301.1700</v>
      </c>
      <c r="J291" s="18">
        <f ca="1">((J290 + H291) - I291)</f>
        <v>0</v>
      </c>
      <c r="K291" s="18">
        <v>0</v>
      </c>
      <c r="L291" s="19">
        <v>0</v>
      </c>
      <c r="M291" s="17" t="s">
        <v>157</v>
      </c>
    </row>
    <row r="292" ht="10.95" customHeight="true" customFormat="true" s="9">
      <c r="A292" s="16">
        <v>45688</v>
      </c>
      <c r="B292" s="17" t="s">
        <v>160</v>
      </c>
      <c r="C292" s="17" t="s">
        <v>161</v>
      </c>
      <c r="D292" s="17" t="s">
        <v>162</v>
      </c>
      <c r="E292" s="17" t="s">
        <v>163</v>
      </c>
      <c r="F292" s="17" t="s">
        <v>166</v>
      </c>
      <c r="G292" s="17" t="s">
        <v>145</v>
      </c>
      <c r="H292" s="18">
        <v>0</v>
      </c>
      <c r="I292" s="18">
        <v>48287.4100</v>
      </c>
      <c r="J292" s="18">
        <f ca="1">((J291 + H292) - I292)</f>
        <v>0</v>
      </c>
      <c r="K292" s="18">
        <v>0</v>
      </c>
      <c r="L292" s="19">
        <v>0</v>
      </c>
      <c r="M292" s="17" t="s">
        <v>157</v>
      </c>
    </row>
    <row r="293" ht="10.95" customHeight="true" customFormat="true" s="9">
      <c r="A293" s="16">
        <v>45716</v>
      </c>
      <c r="B293" s="17" t="s">
        <v>160</v>
      </c>
      <c r="C293" s="17" t="s">
        <v>161</v>
      </c>
      <c r="D293" s="17" t="s">
        <v>162</v>
      </c>
      <c r="E293" s="17" t="s">
        <v>163</v>
      </c>
      <c r="F293" s="17" t="s">
        <v>169</v>
      </c>
      <c r="G293" s="17" t="s">
        <v>147</v>
      </c>
      <c r="H293" s="18">
        <v>0</v>
      </c>
      <c r="I293" s="18">
        <v>48246.6400</v>
      </c>
      <c r="J293" s="18">
        <f ca="1">((J292 + H293) - I293)</f>
        <v>0</v>
      </c>
      <c r="K293" s="18">
        <v>0</v>
      </c>
      <c r="L293" s="19">
        <v>0</v>
      </c>
      <c r="M293" s="17" t="s">
        <v>157</v>
      </c>
    </row>
    <row r="294" ht="10.95" customHeight="true" customFormat="true" s="9">
      <c r="A294" s="16">
        <v>45716</v>
      </c>
      <c r="B294" s="17" t="s">
        <v>160</v>
      </c>
      <c r="C294" s="17" t="s">
        <v>161</v>
      </c>
      <c r="D294" s="17" t="s">
        <v>162</v>
      </c>
      <c r="E294" s="17" t="s">
        <v>170</v>
      </c>
      <c r="F294" s="17" t="s">
        <v>171</v>
      </c>
      <c r="G294" s="17" t="s">
        <v>172</v>
      </c>
      <c r="H294" s="18">
        <v>64328.8500</v>
      </c>
      <c r="I294" s="18">
        <v>0</v>
      </c>
      <c r="J294" s="18">
        <f ca="1">((J293 + H294) - I294)</f>
        <v>0</v>
      </c>
      <c r="K294" s="18">
        <v>0</v>
      </c>
      <c r="L294" s="19">
        <v>0</v>
      </c>
      <c r="M294" s="17" t="s">
        <v>165</v>
      </c>
    </row>
    <row r="295" ht="10.95" customHeight="true" customFormat="true" s="9">
      <c r="A295" s="16">
        <v>45747</v>
      </c>
      <c r="B295" s="17" t="s">
        <v>160</v>
      </c>
      <c r="C295" s="17" t="s">
        <v>161</v>
      </c>
      <c r="D295" s="17" t="s">
        <v>162</v>
      </c>
      <c r="E295" s="17" t="s">
        <v>163</v>
      </c>
      <c r="F295" s="17" t="s">
        <v>169</v>
      </c>
      <c r="G295" s="17" t="s">
        <v>173</v>
      </c>
      <c r="H295" s="18">
        <v>0</v>
      </c>
      <c r="I295" s="18">
        <v>48000.0000</v>
      </c>
      <c r="J295" s="18">
        <f ca="1">((J294 + H295) - I295)</f>
        <v>0</v>
      </c>
      <c r="K295" s="18">
        <v>0</v>
      </c>
      <c r="L295" s="19">
        <v>0</v>
      </c>
      <c r="M295" s="17" t="s">
        <v>157</v>
      </c>
    </row>
    <row r="296" ht="10.95" customHeight="true" customFormat="true" s="9">
      <c r="A296" s="16">
        <v>45747</v>
      </c>
      <c r="B296" s="17" t="s">
        <v>160</v>
      </c>
      <c r="C296" s="17" t="s">
        <v>161</v>
      </c>
      <c r="D296" s="17" t="s">
        <v>162</v>
      </c>
      <c r="E296" s="17" t="s">
        <v>154</v>
      </c>
      <c r="F296" s="17" t="s">
        <v>174</v>
      </c>
      <c r="G296" s="17" t="s">
        <v>156</v>
      </c>
      <c r="H296" s="18">
        <v>0</v>
      </c>
      <c r="I296" s="18">
        <v>0.2100</v>
      </c>
      <c r="J296" s="18">
        <f ca="1">((J295 + H296) - I296)</f>
        <v>0</v>
      </c>
      <c r="K296" s="18">
        <v>0</v>
      </c>
      <c r="L296" s="19">
        <v>0</v>
      </c>
      <c r="M296" s="17" t="s">
        <v>157</v>
      </c>
    </row>
    <row r="297" ht="10.95" customHeight="true" customFormat="true" s="9">
      <c r="A297" s="20" t="s">
        <v>175</v>
      </c>
      <c r="B297" s="20"/>
      <c r="C297" s="20"/>
      <c r="D297" s="20"/>
      <c r="E297" s="20"/>
      <c r="F297" s="20"/>
      <c r="G297" s="20"/>
      <c r="H297" s="21">
        <f ca="1">SUM(H282:H296)</f>
        <v>0</v>
      </c>
      <c r="I297" s="21">
        <f ca="1">SUM(I282:I296)</f>
        <v>0</v>
      </c>
      <c r="J297" s="21">
        <f ca="1">J296</f>
        <v>0</v>
      </c>
      <c r="K297" s="21">
        <f ca="1">SUM(K282:K296)</f>
        <v>0</v>
      </c>
      <c r="L297" s="20"/>
      <c r="M297" s="20"/>
    </row>
    <row r="298" ht="10.95" customHeight="true" customFormat="true" s="9">
      <c r="A298" s="20" t="s">
        <v>25</v>
      </c>
      <c r="B298" s="20"/>
      <c r="C298" s="20"/>
      <c r="D298" s="20"/>
      <c r="E298" s="20"/>
      <c r="F298" s="20"/>
      <c r="G298" s="20"/>
      <c r="H298" s="21">
        <v>0</v>
      </c>
      <c r="I298" s="21">
        <v>490180.8800</v>
      </c>
      <c r="J298" s="21">
        <v>0</v>
      </c>
      <c r="K298" s="21">
        <v>0</v>
      </c>
      <c r="L298" s="20"/>
      <c r="M298" s="20"/>
    </row>
    <row r="299" ht="10.95" customHeight="true" customFormat="true" s="9">
      <c r="A299" s="10" t="s">
        <v>26</v>
      </c>
      <c r="B299" s="10"/>
      <c r="C299" s="10"/>
      <c r="D299" s="10"/>
      <c r="E299" s="10"/>
      <c r="F299" s="10"/>
      <c r="G299" s="10"/>
      <c r="H299" s="11">
        <v>0</v>
      </c>
      <c r="I299" s="11">
        <v>490180.8800</v>
      </c>
      <c r="J299" s="11">
        <f ca="1">J296</f>
        <v>0</v>
      </c>
      <c r="K299" s="11">
        <v>0</v>
      </c>
      <c r="L299" s="10"/>
      <c r="M299" s="10"/>
    </row>
    <row r="300" ht="13.35" customHeight="true"/>
    <row r="301" ht="12.1" customHeight="true" customFormat="true" s="5">
      <c r="A301" s="8" t="s">
        <v>176</v>
      </c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</row>
    <row r="302" ht="10.95" customHeight="true" customFormat="true" s="9">
      <c r="A302" s="10" t="s">
        <v>17</v>
      </c>
      <c r="B302" s="10"/>
      <c r="C302" s="10"/>
      <c r="D302" s="10"/>
      <c r="E302" s="10"/>
      <c r="F302" s="10"/>
      <c r="G302" s="10"/>
      <c r="H302" s="11">
        <v>0</v>
      </c>
      <c r="I302" s="11">
        <v>0</v>
      </c>
      <c r="J302" s="11">
        <f ca="1">(H302 - I302)</f>
        <v>0</v>
      </c>
      <c r="K302" s="11">
        <v>0</v>
      </c>
      <c r="L302" s="10"/>
      <c r="M302" s="10"/>
    </row>
    <row r="303" ht="10.95" customHeight="true" customFormat="true" s="9">
      <c r="A303" s="12">
        <v>45412</v>
      </c>
      <c r="B303" s="13" t="s">
        <v>177</v>
      </c>
      <c r="C303" s="13" t="s">
        <v>161</v>
      </c>
      <c r="D303" s="13" t="s">
        <v>178</v>
      </c>
      <c r="E303" s="13" t="s">
        <v>154</v>
      </c>
      <c r="F303" s="13" t="s">
        <v>179</v>
      </c>
      <c r="G303" s="13" t="s">
        <v>180</v>
      </c>
      <c r="H303" s="14">
        <v>46160.7300</v>
      </c>
      <c r="I303" s="14">
        <v>0</v>
      </c>
      <c r="J303" s="14">
        <f ca="1">((J302 + H303) - I303)</f>
        <v>0</v>
      </c>
      <c r="K303" s="14">
        <v>0</v>
      </c>
      <c r="L303" s="15">
        <v>0</v>
      </c>
      <c r="M303" s="13" t="s">
        <v>157</v>
      </c>
    </row>
    <row r="304" ht="10.95" customHeight="true" customFormat="true" s="9">
      <c r="A304" s="16">
        <v>45443</v>
      </c>
      <c r="B304" s="17" t="s">
        <v>177</v>
      </c>
      <c r="C304" s="17" t="s">
        <v>161</v>
      </c>
      <c r="D304" s="17" t="s">
        <v>178</v>
      </c>
      <c r="E304" s="17" t="s">
        <v>154</v>
      </c>
      <c r="F304" s="17" t="s">
        <v>181</v>
      </c>
      <c r="G304" s="17" t="s">
        <v>182</v>
      </c>
      <c r="H304" s="18">
        <v>44999.3700</v>
      </c>
      <c r="I304" s="18">
        <v>0</v>
      </c>
      <c r="J304" s="18">
        <f ca="1">((J303 + H304) - I304)</f>
        <v>0</v>
      </c>
      <c r="K304" s="18">
        <v>0</v>
      </c>
      <c r="L304" s="19">
        <v>0</v>
      </c>
      <c r="M304" s="17" t="s">
        <v>157</v>
      </c>
    </row>
    <row r="305" ht="10.95" customHeight="true" customFormat="true" s="9">
      <c r="A305" s="16">
        <v>45473</v>
      </c>
      <c r="B305" s="17" t="s">
        <v>177</v>
      </c>
      <c r="C305" s="17" t="s">
        <v>161</v>
      </c>
      <c r="D305" s="17" t="s">
        <v>178</v>
      </c>
      <c r="E305" s="17" t="s">
        <v>154</v>
      </c>
      <c r="F305" s="17" t="s">
        <v>183</v>
      </c>
      <c r="G305" s="17" t="s">
        <v>184</v>
      </c>
      <c r="H305" s="18">
        <v>45160.3200</v>
      </c>
      <c r="I305" s="18">
        <v>0</v>
      </c>
      <c r="J305" s="18">
        <f ca="1">((J304 + H305) - I305)</f>
        <v>0</v>
      </c>
      <c r="K305" s="18">
        <v>0</v>
      </c>
      <c r="L305" s="19">
        <v>0</v>
      </c>
      <c r="M305" s="17" t="s">
        <v>157</v>
      </c>
    </row>
    <row r="306" ht="10.95" customHeight="true" customFormat="true" s="9">
      <c r="A306" s="16">
        <v>45504</v>
      </c>
      <c r="B306" s="17" t="s">
        <v>177</v>
      </c>
      <c r="C306" s="17" t="s">
        <v>161</v>
      </c>
      <c r="D306" s="17" t="s">
        <v>178</v>
      </c>
      <c r="E306" s="17" t="s">
        <v>154</v>
      </c>
      <c r="F306" s="17" t="s">
        <v>181</v>
      </c>
      <c r="G306" s="17" t="s">
        <v>185</v>
      </c>
      <c r="H306" s="18">
        <v>45977.7200</v>
      </c>
      <c r="I306" s="18">
        <v>0</v>
      </c>
      <c r="J306" s="18">
        <f ca="1">((J305 + H306) - I306)</f>
        <v>0</v>
      </c>
      <c r="K306" s="18">
        <v>0</v>
      </c>
      <c r="L306" s="19">
        <v>0</v>
      </c>
      <c r="M306" s="17" t="s">
        <v>157</v>
      </c>
    </row>
    <row r="307" ht="10.95" customHeight="true" customFormat="true" s="9">
      <c r="A307" s="16">
        <v>45535</v>
      </c>
      <c r="B307" s="17" t="s">
        <v>177</v>
      </c>
      <c r="C307" s="17" t="s">
        <v>161</v>
      </c>
      <c r="D307" s="17" t="s">
        <v>178</v>
      </c>
      <c r="E307" s="17" t="s">
        <v>154</v>
      </c>
      <c r="F307" s="17" t="s">
        <v>186</v>
      </c>
      <c r="G307" s="17" t="s">
        <v>187</v>
      </c>
      <c r="H307" s="18">
        <v>44346.6200</v>
      </c>
      <c r="I307" s="18">
        <v>0</v>
      </c>
      <c r="J307" s="18">
        <f ca="1">((J306 + H307) - I307)</f>
        <v>0</v>
      </c>
      <c r="K307" s="18">
        <v>0</v>
      </c>
      <c r="L307" s="19">
        <v>0</v>
      </c>
      <c r="M307" s="17" t="s">
        <v>157</v>
      </c>
    </row>
    <row r="308" ht="10.95" customHeight="true" customFormat="true" s="9">
      <c r="A308" s="16">
        <v>45565</v>
      </c>
      <c r="B308" s="17" t="s">
        <v>177</v>
      </c>
      <c r="C308" s="17" t="s">
        <v>161</v>
      </c>
      <c r="D308" s="17" t="s">
        <v>178</v>
      </c>
      <c r="E308" s="17" t="s">
        <v>154</v>
      </c>
      <c r="F308" s="17" t="s">
        <v>186</v>
      </c>
      <c r="G308" s="17" t="s">
        <v>188</v>
      </c>
      <c r="H308" s="18">
        <v>43299.9200</v>
      </c>
      <c r="I308" s="18">
        <v>0</v>
      </c>
      <c r="J308" s="18">
        <f ca="1">((J307 + H308) - I308)</f>
        <v>0</v>
      </c>
      <c r="K308" s="18">
        <v>0</v>
      </c>
      <c r="L308" s="19">
        <v>0</v>
      </c>
      <c r="M308" s="17" t="s">
        <v>157</v>
      </c>
    </row>
    <row r="309" ht="10.95" customHeight="true" customFormat="true" s="9">
      <c r="A309" s="16">
        <v>45596</v>
      </c>
      <c r="B309" s="17" t="s">
        <v>177</v>
      </c>
      <c r="C309" s="17" t="s">
        <v>161</v>
      </c>
      <c r="D309" s="17" t="s">
        <v>178</v>
      </c>
      <c r="E309" s="17" t="s">
        <v>154</v>
      </c>
      <c r="F309" s="17" t="s">
        <v>186</v>
      </c>
      <c r="G309" s="17" t="s">
        <v>189</v>
      </c>
      <c r="H309" s="18">
        <v>45654.6000</v>
      </c>
      <c r="I309" s="18">
        <v>0</v>
      </c>
      <c r="J309" s="18">
        <f ca="1">((J308 + H309) - I309)</f>
        <v>0</v>
      </c>
      <c r="K309" s="18">
        <v>0</v>
      </c>
      <c r="L309" s="19">
        <v>0</v>
      </c>
      <c r="M309" s="17" t="s">
        <v>157</v>
      </c>
    </row>
    <row r="310" ht="10.95" customHeight="true" customFormat="true" s="9">
      <c r="A310" s="16">
        <v>45626</v>
      </c>
      <c r="B310" s="17" t="s">
        <v>177</v>
      </c>
      <c r="C310" s="17" t="s">
        <v>161</v>
      </c>
      <c r="D310" s="17" t="s">
        <v>178</v>
      </c>
      <c r="E310" s="17" t="s">
        <v>154</v>
      </c>
      <c r="F310" s="17" t="s">
        <v>186</v>
      </c>
      <c r="G310" s="17" t="s">
        <v>190</v>
      </c>
      <c r="H310" s="18">
        <v>46075.2300</v>
      </c>
      <c r="I310" s="18">
        <v>0</v>
      </c>
      <c r="J310" s="18">
        <f ca="1">((J309 + H310) - I310)</f>
        <v>0</v>
      </c>
      <c r="K310" s="18">
        <v>0</v>
      </c>
      <c r="L310" s="19">
        <v>0</v>
      </c>
      <c r="M310" s="17" t="s">
        <v>157</v>
      </c>
    </row>
    <row r="311" ht="10.95" customHeight="true" customFormat="true" s="9">
      <c r="A311" s="16">
        <v>45657</v>
      </c>
      <c r="B311" s="17" t="s">
        <v>177</v>
      </c>
      <c r="C311" s="17" t="s">
        <v>161</v>
      </c>
      <c r="D311" s="17" t="s">
        <v>178</v>
      </c>
      <c r="E311" s="17" t="s">
        <v>154</v>
      </c>
      <c r="F311" s="17" t="s">
        <v>186</v>
      </c>
      <c r="G311" s="17" t="s">
        <v>191</v>
      </c>
      <c r="H311" s="18">
        <v>48301.1700</v>
      </c>
      <c r="I311" s="18">
        <v>0</v>
      </c>
      <c r="J311" s="18">
        <f ca="1">((J310 + H311) - I311)</f>
        <v>0</v>
      </c>
      <c r="K311" s="18">
        <v>0</v>
      </c>
      <c r="L311" s="19">
        <v>0</v>
      </c>
      <c r="M311" s="17" t="s">
        <v>157</v>
      </c>
    </row>
    <row r="312" ht="10.95" customHeight="true" customFormat="true" s="9">
      <c r="A312" s="16">
        <v>45688</v>
      </c>
      <c r="B312" s="17" t="s">
        <v>177</v>
      </c>
      <c r="C312" s="17" t="s">
        <v>161</v>
      </c>
      <c r="D312" s="17" t="s">
        <v>178</v>
      </c>
      <c r="E312" s="17" t="s">
        <v>154</v>
      </c>
      <c r="F312" s="17" t="s">
        <v>186</v>
      </c>
      <c r="G312" s="17" t="s">
        <v>192</v>
      </c>
      <c r="H312" s="18">
        <v>48287.4100</v>
      </c>
      <c r="I312" s="18">
        <v>0</v>
      </c>
      <c r="J312" s="18">
        <f ca="1">((J311 + H312) - I312)</f>
        <v>0</v>
      </c>
      <c r="K312" s="18">
        <v>0</v>
      </c>
      <c r="L312" s="19">
        <v>0</v>
      </c>
      <c r="M312" s="17" t="s">
        <v>157</v>
      </c>
    </row>
    <row r="313" ht="10.95" customHeight="true" customFormat="true" s="9">
      <c r="A313" s="16">
        <v>45716</v>
      </c>
      <c r="B313" s="17" t="s">
        <v>177</v>
      </c>
      <c r="C313" s="17" t="s">
        <v>161</v>
      </c>
      <c r="D313" s="17" t="s">
        <v>178</v>
      </c>
      <c r="E313" s="17" t="s">
        <v>154</v>
      </c>
      <c r="F313" s="17" t="s">
        <v>186</v>
      </c>
      <c r="G313" s="17" t="s">
        <v>193</v>
      </c>
      <c r="H313" s="18">
        <v>48246.6400</v>
      </c>
      <c r="I313" s="18">
        <v>0</v>
      </c>
      <c r="J313" s="18">
        <f ca="1">((J312 + H313) - I313)</f>
        <v>0</v>
      </c>
      <c r="K313" s="18">
        <v>0</v>
      </c>
      <c r="L313" s="19">
        <v>0</v>
      </c>
      <c r="M313" s="17" t="s">
        <v>157</v>
      </c>
    </row>
    <row r="314" ht="10.95" customHeight="true" customFormat="true" s="9">
      <c r="A314" s="16">
        <v>45716</v>
      </c>
      <c r="B314" s="17" t="s">
        <v>177</v>
      </c>
      <c r="C314" s="17" t="s">
        <v>161</v>
      </c>
      <c r="D314" s="17" t="s">
        <v>178</v>
      </c>
      <c r="E314" s="17" t="s">
        <v>194</v>
      </c>
      <c r="F314" s="17" t="s">
        <v>195</v>
      </c>
      <c r="G314" s="17"/>
      <c r="H314" s="18">
        <v>0</v>
      </c>
      <c r="I314" s="18">
        <v>64328.8500</v>
      </c>
      <c r="J314" s="18">
        <f ca="1">((J313 + H314) - I314)</f>
        <v>0</v>
      </c>
      <c r="K314" s="18">
        <v>0</v>
      </c>
      <c r="L314" s="19">
        <v>0</v>
      </c>
      <c r="M314" s="17" t="s">
        <v>157</v>
      </c>
    </row>
    <row r="315" ht="10.95" customHeight="true" customFormat="true" s="9">
      <c r="A315" s="16">
        <v>45747</v>
      </c>
      <c r="B315" s="17" t="s">
        <v>177</v>
      </c>
      <c r="C315" s="17" t="s">
        <v>161</v>
      </c>
      <c r="D315" s="17" t="s">
        <v>178</v>
      </c>
      <c r="E315" s="17" t="s">
        <v>154</v>
      </c>
      <c r="F315" s="17" t="s">
        <v>186</v>
      </c>
      <c r="G315" s="17" t="s">
        <v>196</v>
      </c>
      <c r="H315" s="18">
        <v>48000.0000</v>
      </c>
      <c r="I315" s="18">
        <v>0</v>
      </c>
      <c r="J315" s="18">
        <f ca="1">((J314 + H315) - I315)</f>
        <v>0</v>
      </c>
      <c r="K315" s="18">
        <v>0</v>
      </c>
      <c r="L315" s="19">
        <v>0</v>
      </c>
      <c r="M315" s="17" t="s">
        <v>157</v>
      </c>
    </row>
    <row r="316" ht="10.95" customHeight="true" customFormat="true" s="9">
      <c r="A316" s="20" t="s">
        <v>197</v>
      </c>
      <c r="B316" s="20"/>
      <c r="C316" s="20"/>
      <c r="D316" s="20"/>
      <c r="E316" s="20"/>
      <c r="F316" s="20"/>
      <c r="G316" s="20"/>
      <c r="H316" s="21">
        <f ca="1">SUM(H303:H315)</f>
        <v>0</v>
      </c>
      <c r="I316" s="21">
        <f ca="1">SUM(I303:I315)</f>
        <v>0</v>
      </c>
      <c r="J316" s="21">
        <f ca="1">J315</f>
        <v>0</v>
      </c>
      <c r="K316" s="21">
        <f ca="1">SUM(K303:K315)</f>
        <v>0</v>
      </c>
      <c r="L316" s="20"/>
      <c r="M316" s="20"/>
    </row>
    <row r="317" ht="10.95" customHeight="true" customFormat="true" s="9">
      <c r="A317" s="20" t="s">
        <v>25</v>
      </c>
      <c r="B317" s="20"/>
      <c r="C317" s="20"/>
      <c r="D317" s="20"/>
      <c r="E317" s="20"/>
      <c r="F317" s="20"/>
      <c r="G317" s="20"/>
      <c r="H317" s="21">
        <v>490180.8800</v>
      </c>
      <c r="I317" s="21">
        <v>0</v>
      </c>
      <c r="J317" s="21">
        <v>0</v>
      </c>
      <c r="K317" s="21">
        <v>0</v>
      </c>
      <c r="L317" s="20"/>
      <c r="M317" s="20"/>
    </row>
    <row r="318" ht="10.95" customHeight="true" customFormat="true" s="9">
      <c r="A318" s="10" t="s">
        <v>26</v>
      </c>
      <c r="B318" s="10"/>
      <c r="C318" s="10"/>
      <c r="D318" s="10"/>
      <c r="E318" s="10"/>
      <c r="F318" s="10"/>
      <c r="G318" s="10"/>
      <c r="H318" s="11">
        <v>490180.8800</v>
      </c>
      <c r="I318" s="11">
        <v>0</v>
      </c>
      <c r="J318" s="11">
        <f ca="1">J315</f>
        <v>0</v>
      </c>
      <c r="K318" s="11">
        <v>0</v>
      </c>
      <c r="L318" s="10"/>
      <c r="M318" s="10"/>
    </row>
    <row r="319" ht="13.35" customHeight="true"/>
    <row r="320" ht="12.1" customHeight="true" customFormat="true" s="5">
      <c r="A320" s="8" t="s">
        <v>198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</row>
    <row r="321" ht="10.95" customHeight="true" customFormat="true" s="9">
      <c r="A321" s="10" t="s">
        <v>17</v>
      </c>
      <c r="B321" s="10"/>
      <c r="C321" s="10"/>
      <c r="D321" s="10"/>
      <c r="E321" s="10"/>
      <c r="F321" s="10"/>
      <c r="G321" s="10"/>
      <c r="H321" s="11">
        <v>0</v>
      </c>
      <c r="I321" s="11">
        <v>0</v>
      </c>
      <c r="J321" s="11">
        <f ca="1">(H321 - I321)</f>
        <v>0</v>
      </c>
      <c r="K321" s="11">
        <v>0</v>
      </c>
      <c r="L321" s="10"/>
      <c r="M321" s="10"/>
    </row>
    <row r="322" ht="10.95" customHeight="true" customFormat="true" s="9">
      <c r="A322" s="12">
        <v>45473</v>
      </c>
      <c r="B322" s="13" t="s">
        <v>199</v>
      </c>
      <c r="C322" s="13" t="s">
        <v>161</v>
      </c>
      <c r="D322" s="13" t="s">
        <v>200</v>
      </c>
      <c r="E322" s="13" t="s">
        <v>47</v>
      </c>
      <c r="F322" s="13" t="s">
        <v>201</v>
      </c>
      <c r="G322" s="13"/>
      <c r="H322" s="14">
        <v>0</v>
      </c>
      <c r="I322" s="14">
        <v>1679.7800</v>
      </c>
      <c r="J322" s="14">
        <f ca="1">((J321 + H322) - I322)</f>
        <v>0</v>
      </c>
      <c r="K322" s="14">
        <v>0</v>
      </c>
      <c r="L322" s="15">
        <v>0</v>
      </c>
      <c r="M322" s="13" t="s">
        <v>165</v>
      </c>
    </row>
    <row r="323" ht="10.95" customHeight="true" customFormat="true" s="9">
      <c r="A323" s="16">
        <v>45504</v>
      </c>
      <c r="B323" s="17" t="s">
        <v>199</v>
      </c>
      <c r="C323" s="17" t="s">
        <v>161</v>
      </c>
      <c r="D323" s="17" t="s">
        <v>200</v>
      </c>
      <c r="E323" s="17" t="s">
        <v>154</v>
      </c>
      <c r="F323" s="17" t="s">
        <v>202</v>
      </c>
      <c r="G323" s="17" t="s">
        <v>203</v>
      </c>
      <c r="H323" s="18">
        <v>0</v>
      </c>
      <c r="I323" s="18">
        <v>873.2900</v>
      </c>
      <c r="J323" s="18">
        <f ca="1">((J322 + H323) - I323)</f>
        <v>0</v>
      </c>
      <c r="K323" s="18">
        <v>0</v>
      </c>
      <c r="L323" s="19">
        <v>0</v>
      </c>
      <c r="M323" s="17" t="s">
        <v>157</v>
      </c>
    </row>
    <row r="324" ht="10.95" customHeight="true" customFormat="true" s="9">
      <c r="A324" s="16">
        <v>45654</v>
      </c>
      <c r="B324" s="17" t="s">
        <v>199</v>
      </c>
      <c r="C324" s="17" t="s">
        <v>161</v>
      </c>
      <c r="D324" s="17" t="s">
        <v>200</v>
      </c>
      <c r="E324" s="17" t="s">
        <v>47</v>
      </c>
      <c r="F324" s="17" t="s">
        <v>201</v>
      </c>
      <c r="G324" s="17"/>
      <c r="H324" s="18">
        <v>0</v>
      </c>
      <c r="I324" s="18">
        <v>2025.4500</v>
      </c>
      <c r="J324" s="18">
        <f ca="1">((J323 + H324) - I324)</f>
        <v>0</v>
      </c>
      <c r="K324" s="18">
        <v>0</v>
      </c>
      <c r="L324" s="19">
        <v>0</v>
      </c>
      <c r="M324" s="17" t="s">
        <v>165</v>
      </c>
    </row>
    <row r="325" ht="10.95" customHeight="true" customFormat="true" s="9">
      <c r="A325" s="20" t="s">
        <v>204</v>
      </c>
      <c r="B325" s="20"/>
      <c r="C325" s="20"/>
      <c r="D325" s="20"/>
      <c r="E325" s="20"/>
      <c r="F325" s="20"/>
      <c r="G325" s="20"/>
      <c r="H325" s="21">
        <f ca="1">SUM(H322:H324)</f>
        <v>0</v>
      </c>
      <c r="I325" s="21">
        <f ca="1">SUM(I322:I324)</f>
        <v>0</v>
      </c>
      <c r="J325" s="21">
        <f ca="1">J324</f>
        <v>0</v>
      </c>
      <c r="K325" s="21">
        <f ca="1">SUM(K322:K324)</f>
        <v>0</v>
      </c>
      <c r="L325" s="20"/>
      <c r="M325" s="20"/>
    </row>
    <row r="326" ht="10.95" customHeight="true" customFormat="true" s="9">
      <c r="A326" s="20" t="s">
        <v>25</v>
      </c>
      <c r="B326" s="20"/>
      <c r="C326" s="20"/>
      <c r="D326" s="20"/>
      <c r="E326" s="20"/>
      <c r="F326" s="20"/>
      <c r="G326" s="20"/>
      <c r="H326" s="21">
        <v>0</v>
      </c>
      <c r="I326" s="21">
        <v>4578.5200</v>
      </c>
      <c r="J326" s="21">
        <v>0</v>
      </c>
      <c r="K326" s="21">
        <v>0</v>
      </c>
      <c r="L326" s="20"/>
      <c r="M326" s="20"/>
    </row>
    <row r="327" ht="10.95" customHeight="true" customFormat="true" s="9">
      <c r="A327" s="10" t="s">
        <v>26</v>
      </c>
      <c r="B327" s="10"/>
      <c r="C327" s="10"/>
      <c r="D327" s="10"/>
      <c r="E327" s="10"/>
      <c r="F327" s="10"/>
      <c r="G327" s="10"/>
      <c r="H327" s="11">
        <v>0</v>
      </c>
      <c r="I327" s="11">
        <v>4578.5200</v>
      </c>
      <c r="J327" s="11">
        <f ca="1">J324</f>
        <v>0</v>
      </c>
      <c r="K327" s="11">
        <v>0</v>
      </c>
      <c r="L327" s="10"/>
      <c r="M327" s="10"/>
    </row>
    <row r="328" ht="13.35" customHeight="true"/>
    <row r="329" ht="12.1" customHeight="true" customFormat="true" s="5">
      <c r="A329" s="8" t="s">
        <v>205</v>
      </c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</row>
    <row r="330" ht="10.95" customHeight="true" customFormat="true" s="9">
      <c r="A330" s="10" t="s">
        <v>17</v>
      </c>
      <c r="B330" s="10"/>
      <c r="C330" s="10"/>
      <c r="D330" s="10"/>
      <c r="E330" s="10"/>
      <c r="F330" s="10"/>
      <c r="G330" s="10"/>
      <c r="H330" s="11">
        <v>0</v>
      </c>
      <c r="I330" s="11">
        <v>0</v>
      </c>
      <c r="J330" s="11">
        <f ca="1">(H330 - I330)</f>
        <v>0</v>
      </c>
      <c r="K330" s="11">
        <v>0</v>
      </c>
      <c r="L330" s="10"/>
      <c r="M330" s="10"/>
    </row>
    <row r="331" ht="10.95" customHeight="true" customFormat="true" s="9">
      <c r="A331" s="12">
        <v>45450</v>
      </c>
      <c r="B331" s="13" t="s">
        <v>206</v>
      </c>
      <c r="C331" s="13" t="s">
        <v>207</v>
      </c>
      <c r="D331" s="13" t="s">
        <v>208</v>
      </c>
      <c r="E331" s="13" t="s">
        <v>47</v>
      </c>
      <c r="F331" s="13" t="s">
        <v>209</v>
      </c>
      <c r="G331" s="13"/>
      <c r="H331" s="14">
        <v>0</v>
      </c>
      <c r="I331" s="14">
        <v>302.4900</v>
      </c>
      <c r="J331" s="14">
        <f ca="1">((J330 + H331) - I331)</f>
        <v>0</v>
      </c>
      <c r="K331" s="14">
        <v>0</v>
      </c>
      <c r="L331" s="15">
        <v>0</v>
      </c>
      <c r="M331" s="13" t="s">
        <v>165</v>
      </c>
    </row>
    <row r="332" ht="10.95" customHeight="true" customFormat="true" s="9">
      <c r="A332" s="16">
        <v>45525</v>
      </c>
      <c r="B332" s="17" t="s">
        <v>206</v>
      </c>
      <c r="C332" s="17" t="s">
        <v>207</v>
      </c>
      <c r="D332" s="17" t="s">
        <v>208</v>
      </c>
      <c r="E332" s="17" t="s">
        <v>29</v>
      </c>
      <c r="F332" s="17" t="s">
        <v>210</v>
      </c>
      <c r="G332" s="17"/>
      <c r="H332" s="18">
        <v>296.4200</v>
      </c>
      <c r="I332" s="18">
        <v>0</v>
      </c>
      <c r="J332" s="18">
        <f ca="1">((J331 + H332) - I332)</f>
        <v>0</v>
      </c>
      <c r="K332" s="18">
        <v>0</v>
      </c>
      <c r="L332" s="19">
        <v>0</v>
      </c>
      <c r="M332" s="17" t="s">
        <v>165</v>
      </c>
    </row>
    <row r="333" ht="10.95" customHeight="true" customFormat="true" s="9">
      <c r="A333" s="16">
        <v>45565</v>
      </c>
      <c r="B333" s="17" t="s">
        <v>206</v>
      </c>
      <c r="C333" s="17" t="s">
        <v>207</v>
      </c>
      <c r="D333" s="17" t="s">
        <v>208</v>
      </c>
      <c r="E333" s="17" t="s">
        <v>154</v>
      </c>
      <c r="F333" s="17" t="s">
        <v>211</v>
      </c>
      <c r="G333" s="17" t="s">
        <v>168</v>
      </c>
      <c r="H333" s="18">
        <v>6.0700</v>
      </c>
      <c r="I333" s="18">
        <v>0</v>
      </c>
      <c r="J333" s="18">
        <f ca="1">((J332 + H333) - I333)</f>
        <v>0</v>
      </c>
      <c r="K333" s="18">
        <v>0</v>
      </c>
      <c r="L333" s="19">
        <v>0</v>
      </c>
      <c r="M333" s="17" t="s">
        <v>157</v>
      </c>
    </row>
    <row r="334" ht="10.95" customHeight="true" customFormat="true" s="9">
      <c r="A334" s="20" t="s">
        <v>212</v>
      </c>
      <c r="B334" s="20"/>
      <c r="C334" s="20"/>
      <c r="D334" s="20"/>
      <c r="E334" s="20"/>
      <c r="F334" s="20"/>
      <c r="G334" s="20"/>
      <c r="H334" s="21">
        <f ca="1">SUM(H331:H333)</f>
        <v>0</v>
      </c>
      <c r="I334" s="21">
        <f ca="1">SUM(I331:I333)</f>
        <v>0</v>
      </c>
      <c r="J334" s="21">
        <f ca="1">J333</f>
        <v>0</v>
      </c>
      <c r="K334" s="21">
        <f ca="1">SUM(K331:K333)</f>
        <v>0</v>
      </c>
      <c r="L334" s="20"/>
      <c r="M334" s="20"/>
    </row>
    <row r="335" ht="10.95" customHeight="true" customFormat="true" s="9">
      <c r="A335" s="20" t="s">
        <v>25</v>
      </c>
      <c r="B335" s="20"/>
      <c r="C335" s="20"/>
      <c r="D335" s="20"/>
      <c r="E335" s="20"/>
      <c r="F335" s="20"/>
      <c r="G335" s="20"/>
      <c r="H335" s="21">
        <v>0</v>
      </c>
      <c r="I335" s="21">
        <v>0</v>
      </c>
      <c r="J335" s="21">
        <v>0</v>
      </c>
      <c r="K335" s="21">
        <v>0</v>
      </c>
      <c r="L335" s="20"/>
      <c r="M335" s="20"/>
    </row>
    <row r="336" ht="10.95" customHeight="true" customFormat="true" s="9">
      <c r="A336" s="10" t="s">
        <v>26</v>
      </c>
      <c r="B336" s="10"/>
      <c r="C336" s="10"/>
      <c r="D336" s="10"/>
      <c r="E336" s="10"/>
      <c r="F336" s="10"/>
      <c r="G336" s="10"/>
      <c r="H336" s="11">
        <v>0</v>
      </c>
      <c r="I336" s="11">
        <v>0</v>
      </c>
      <c r="J336" s="11">
        <f ca="1">J333</f>
        <v>0</v>
      </c>
      <c r="K336" s="11">
        <v>0</v>
      </c>
      <c r="L336" s="10"/>
      <c r="M336" s="10"/>
    </row>
    <row r="337" ht="13.35" customHeight="true"/>
    <row r="338" ht="12.1" customHeight="true" customFormat="true" s="5">
      <c r="A338" s="8" t="s">
        <v>213</v>
      </c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</row>
    <row r="339" ht="10.95" customHeight="true" customFormat="true" s="9">
      <c r="A339" s="10" t="s">
        <v>17</v>
      </c>
      <c r="B339" s="10"/>
      <c r="C339" s="10"/>
      <c r="D339" s="10"/>
      <c r="E339" s="10"/>
      <c r="F339" s="10"/>
      <c r="G339" s="10"/>
      <c r="H339" s="11">
        <v>0</v>
      </c>
      <c r="I339" s="11">
        <v>0</v>
      </c>
      <c r="J339" s="11">
        <f ca="1">(H339 - I339)</f>
        <v>0</v>
      </c>
      <c r="K339" s="11">
        <v>0</v>
      </c>
      <c r="L339" s="10"/>
      <c r="M339" s="10"/>
    </row>
    <row r="340" ht="21.3" customHeight="true" customFormat="true" s="9">
      <c r="A340" s="12">
        <v>45443</v>
      </c>
      <c r="B340" s="13" t="s">
        <v>214</v>
      </c>
      <c r="C340" s="13" t="s">
        <v>207</v>
      </c>
      <c r="D340" s="13" t="s">
        <v>215</v>
      </c>
      <c r="E340" s="13" t="s">
        <v>163</v>
      </c>
      <c r="F340" s="22" t="s">
        <v>216</v>
      </c>
      <c r="G340" s="13" t="s">
        <v>116</v>
      </c>
      <c r="H340" s="14">
        <v>0</v>
      </c>
      <c r="I340" s="14">
        <v>26999.6200</v>
      </c>
      <c r="J340" s="14">
        <f ca="1">((J339 + H340) - I340)</f>
        <v>0</v>
      </c>
      <c r="K340" s="14">
        <v>0</v>
      </c>
      <c r="L340" s="15">
        <v>0</v>
      </c>
      <c r="M340" s="13" t="s">
        <v>157</v>
      </c>
    </row>
    <row r="341" ht="10.95" customHeight="true" customFormat="true" s="9">
      <c r="A341" s="20" t="s">
        <v>217</v>
      </c>
      <c r="B341" s="20"/>
      <c r="C341" s="20"/>
      <c r="D341" s="20"/>
      <c r="E341" s="20"/>
      <c r="F341" s="20"/>
      <c r="G341" s="20"/>
      <c r="H341" s="21">
        <f ca="1">H340</f>
        <v>0</v>
      </c>
      <c r="I341" s="21">
        <f ca="1">I340</f>
        <v>0</v>
      </c>
      <c r="J341" s="21">
        <f ca="1">J340</f>
        <v>0</v>
      </c>
      <c r="K341" s="21">
        <f ca="1">K340</f>
        <v>0</v>
      </c>
      <c r="L341" s="20"/>
      <c r="M341" s="20"/>
    </row>
    <row r="342" ht="10.95" customHeight="true" customFormat="true" s="9">
      <c r="A342" s="20" t="s">
        <v>25</v>
      </c>
      <c r="B342" s="20"/>
      <c r="C342" s="20"/>
      <c r="D342" s="20"/>
      <c r="E342" s="20"/>
      <c r="F342" s="20"/>
      <c r="G342" s="20"/>
      <c r="H342" s="21">
        <v>0</v>
      </c>
      <c r="I342" s="21">
        <v>26999.6200</v>
      </c>
      <c r="J342" s="21">
        <v>0</v>
      </c>
      <c r="K342" s="21">
        <v>0</v>
      </c>
      <c r="L342" s="20"/>
      <c r="M342" s="20"/>
    </row>
    <row r="343" ht="10.95" customHeight="true" customFormat="true" s="9">
      <c r="A343" s="10" t="s">
        <v>26</v>
      </c>
      <c r="B343" s="10"/>
      <c r="C343" s="10"/>
      <c r="D343" s="10"/>
      <c r="E343" s="10"/>
      <c r="F343" s="10"/>
      <c r="G343" s="10"/>
      <c r="H343" s="11">
        <v>0</v>
      </c>
      <c r="I343" s="11">
        <v>26999.6200</v>
      </c>
      <c r="J343" s="11">
        <f ca="1">J340</f>
        <v>0</v>
      </c>
      <c r="K343" s="11">
        <v>0</v>
      </c>
      <c r="L343" s="10"/>
      <c r="M343" s="10"/>
    </row>
    <row r="344" ht="13.35" customHeight="true"/>
    <row r="345" ht="12.1" customHeight="true" customFormat="true" s="5">
      <c r="A345" s="8" t="s">
        <v>218</v>
      </c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</row>
    <row r="346" ht="10.95" customHeight="true" customFormat="true" s="9">
      <c r="A346" s="10" t="s">
        <v>17</v>
      </c>
      <c r="B346" s="10"/>
      <c r="C346" s="10"/>
      <c r="D346" s="10"/>
      <c r="E346" s="10"/>
      <c r="F346" s="10"/>
      <c r="G346" s="10"/>
      <c r="H346" s="11">
        <v>0</v>
      </c>
      <c r="I346" s="11">
        <v>0</v>
      </c>
      <c r="J346" s="11">
        <f ca="1">(H346 - I346)</f>
        <v>0</v>
      </c>
      <c r="K346" s="11">
        <v>0</v>
      </c>
      <c r="L346" s="10"/>
      <c r="M346" s="10"/>
    </row>
    <row r="347" ht="21.3" customHeight="true" customFormat="true" s="9">
      <c r="A347" s="12">
        <v>45688</v>
      </c>
      <c r="B347" s="13" t="s">
        <v>219</v>
      </c>
      <c r="C347" s="13" t="s">
        <v>207</v>
      </c>
      <c r="D347" s="13" t="s">
        <v>220</v>
      </c>
      <c r="E347" s="13" t="s">
        <v>163</v>
      </c>
      <c r="F347" s="22" t="s">
        <v>221</v>
      </c>
      <c r="G347" s="13" t="s">
        <v>222</v>
      </c>
      <c r="H347" s="14">
        <v>0</v>
      </c>
      <c r="I347" s="14">
        <v>7919.1300</v>
      </c>
      <c r="J347" s="14">
        <f ca="1">((J346 + H347) - I347)</f>
        <v>0</v>
      </c>
      <c r="K347" s="14">
        <v>0</v>
      </c>
      <c r="L347" s="15">
        <v>0</v>
      </c>
      <c r="M347" s="13" t="s">
        <v>157</v>
      </c>
    </row>
    <row r="348" ht="10.95" customHeight="true" customFormat="true" s="9">
      <c r="A348" s="20" t="s">
        <v>223</v>
      </c>
      <c r="B348" s="20"/>
      <c r="C348" s="20"/>
      <c r="D348" s="20"/>
      <c r="E348" s="20"/>
      <c r="F348" s="20"/>
      <c r="G348" s="20"/>
      <c r="H348" s="21">
        <f ca="1">H347</f>
        <v>0</v>
      </c>
      <c r="I348" s="21">
        <f ca="1">I347</f>
        <v>0</v>
      </c>
      <c r="J348" s="21">
        <f ca="1">J347</f>
        <v>0</v>
      </c>
      <c r="K348" s="21">
        <f ca="1">K347</f>
        <v>0</v>
      </c>
      <c r="L348" s="20"/>
      <c r="M348" s="20"/>
    </row>
    <row r="349" ht="10.95" customHeight="true" customFormat="true" s="9">
      <c r="A349" s="20" t="s">
        <v>25</v>
      </c>
      <c r="B349" s="20"/>
      <c r="C349" s="20"/>
      <c r="D349" s="20"/>
      <c r="E349" s="20"/>
      <c r="F349" s="20"/>
      <c r="G349" s="20"/>
      <c r="H349" s="21">
        <v>0</v>
      </c>
      <c r="I349" s="21">
        <v>7919.1300</v>
      </c>
      <c r="J349" s="21">
        <v>0</v>
      </c>
      <c r="K349" s="21">
        <v>0</v>
      </c>
      <c r="L349" s="20"/>
      <c r="M349" s="20"/>
    </row>
    <row r="350" ht="10.95" customHeight="true" customFormat="true" s="9">
      <c r="A350" s="10" t="s">
        <v>26</v>
      </c>
      <c r="B350" s="10"/>
      <c r="C350" s="10"/>
      <c r="D350" s="10"/>
      <c r="E350" s="10"/>
      <c r="F350" s="10"/>
      <c r="G350" s="10"/>
      <c r="H350" s="11">
        <v>0</v>
      </c>
      <c r="I350" s="11">
        <v>7919.1300</v>
      </c>
      <c r="J350" s="11">
        <f ca="1">J347</f>
        <v>0</v>
      </c>
      <c r="K350" s="11">
        <v>0</v>
      </c>
      <c r="L350" s="10"/>
      <c r="M350" s="10"/>
    </row>
    <row r="351" ht="13.35" customHeight="true"/>
    <row r="352" ht="12.1" customHeight="true" customFormat="true" s="5">
      <c r="A352" s="8" t="s">
        <v>224</v>
      </c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</row>
    <row r="353" ht="10.95" customHeight="true" customFormat="true" s="9">
      <c r="A353" s="10" t="s">
        <v>17</v>
      </c>
      <c r="B353" s="10"/>
      <c r="C353" s="10"/>
      <c r="D353" s="10"/>
      <c r="E353" s="10"/>
      <c r="F353" s="10"/>
      <c r="G353" s="10"/>
      <c r="H353" s="11">
        <v>0</v>
      </c>
      <c r="I353" s="11">
        <v>0</v>
      </c>
      <c r="J353" s="11">
        <f ca="1">(H353 - I353)</f>
        <v>0</v>
      </c>
      <c r="K353" s="11">
        <v>0</v>
      </c>
      <c r="L353" s="10"/>
      <c r="M353" s="10"/>
    </row>
    <row r="354" ht="10.95" customHeight="true" customFormat="true" s="9">
      <c r="A354" s="12">
        <v>45443</v>
      </c>
      <c r="B354" s="13" t="s">
        <v>225</v>
      </c>
      <c r="C354" s="13" t="s">
        <v>152</v>
      </c>
      <c r="D354" s="13" t="s">
        <v>226</v>
      </c>
      <c r="E354" s="13" t="s">
        <v>163</v>
      </c>
      <c r="F354" s="13" t="s">
        <v>227</v>
      </c>
      <c r="G354" s="13" t="s">
        <v>90</v>
      </c>
      <c r="H354" s="14">
        <v>0</v>
      </c>
      <c r="I354" s="14">
        <v>73415.6600</v>
      </c>
      <c r="J354" s="14">
        <f ca="1">((J353 + H354) - I354)</f>
        <v>0</v>
      </c>
      <c r="K354" s="14">
        <v>0</v>
      </c>
      <c r="L354" s="15">
        <v>0</v>
      </c>
      <c r="M354" s="13" t="s">
        <v>157</v>
      </c>
    </row>
    <row r="355" ht="21.3" customHeight="true" customFormat="true" s="9">
      <c r="A355" s="16">
        <v>45443</v>
      </c>
      <c r="B355" s="17" t="s">
        <v>225</v>
      </c>
      <c r="C355" s="17" t="s">
        <v>152</v>
      </c>
      <c r="D355" s="17" t="s">
        <v>226</v>
      </c>
      <c r="E355" s="17" t="s">
        <v>163</v>
      </c>
      <c r="F355" s="23" t="s">
        <v>228</v>
      </c>
      <c r="G355" s="17" t="s">
        <v>92</v>
      </c>
      <c r="H355" s="18">
        <v>0</v>
      </c>
      <c r="I355" s="18">
        <v>59683.7900</v>
      </c>
      <c r="J355" s="18">
        <f ca="1">((J354 + H355) - I355)</f>
        <v>0</v>
      </c>
      <c r="K355" s="18">
        <v>0</v>
      </c>
      <c r="L355" s="19">
        <v>0</v>
      </c>
      <c r="M355" s="17" t="s">
        <v>157</v>
      </c>
    </row>
    <row r="356" ht="21.3" customHeight="true" customFormat="true" s="9">
      <c r="A356" s="16">
        <v>45443</v>
      </c>
      <c r="B356" s="17" t="s">
        <v>225</v>
      </c>
      <c r="C356" s="17" t="s">
        <v>152</v>
      </c>
      <c r="D356" s="17" t="s">
        <v>226</v>
      </c>
      <c r="E356" s="17" t="s">
        <v>163</v>
      </c>
      <c r="F356" s="23" t="s">
        <v>229</v>
      </c>
      <c r="G356" s="17" t="s">
        <v>116</v>
      </c>
      <c r="H356" s="18">
        <v>0</v>
      </c>
      <c r="I356" s="18">
        <v>36652.8000</v>
      </c>
      <c r="J356" s="18">
        <f ca="1">((J355 + H356) - I356)</f>
        <v>0</v>
      </c>
      <c r="K356" s="18">
        <v>0</v>
      </c>
      <c r="L356" s="19">
        <v>0</v>
      </c>
      <c r="M356" s="17" t="s">
        <v>157</v>
      </c>
    </row>
    <row r="357" ht="21.3" customHeight="true" customFormat="true" s="9">
      <c r="A357" s="16">
        <v>45443</v>
      </c>
      <c r="B357" s="17" t="s">
        <v>225</v>
      </c>
      <c r="C357" s="17" t="s">
        <v>152</v>
      </c>
      <c r="D357" s="17" t="s">
        <v>226</v>
      </c>
      <c r="E357" s="17" t="s">
        <v>163</v>
      </c>
      <c r="F357" s="23" t="s">
        <v>228</v>
      </c>
      <c r="G357" s="17" t="s">
        <v>116</v>
      </c>
      <c r="H357" s="18">
        <v>0</v>
      </c>
      <c r="I357" s="18">
        <v>19854.8500</v>
      </c>
      <c r="J357" s="18">
        <f ca="1">((J356 + H357) - I357)</f>
        <v>0</v>
      </c>
      <c r="K357" s="18">
        <v>0</v>
      </c>
      <c r="L357" s="19">
        <v>0</v>
      </c>
      <c r="M357" s="17" t="s">
        <v>157</v>
      </c>
    </row>
    <row r="358" ht="21.3" customHeight="true" customFormat="true" s="9">
      <c r="A358" s="16">
        <v>45443</v>
      </c>
      <c r="B358" s="17" t="s">
        <v>225</v>
      </c>
      <c r="C358" s="17" t="s">
        <v>152</v>
      </c>
      <c r="D358" s="17" t="s">
        <v>226</v>
      </c>
      <c r="E358" s="17" t="s">
        <v>163</v>
      </c>
      <c r="F358" s="23" t="s">
        <v>230</v>
      </c>
      <c r="G358" s="17" t="s">
        <v>115</v>
      </c>
      <c r="H358" s="18">
        <v>0</v>
      </c>
      <c r="I358" s="18">
        <v>73415.6600</v>
      </c>
      <c r="J358" s="18">
        <f ca="1">((J357 + H358) - I358)</f>
        <v>0</v>
      </c>
      <c r="K358" s="18">
        <v>0</v>
      </c>
      <c r="L358" s="19">
        <v>0</v>
      </c>
      <c r="M358" s="17" t="s">
        <v>157</v>
      </c>
    </row>
    <row r="359" ht="21.3" customHeight="true" customFormat="true" s="9">
      <c r="A359" s="16">
        <v>45443</v>
      </c>
      <c r="B359" s="17" t="s">
        <v>225</v>
      </c>
      <c r="C359" s="17" t="s">
        <v>152</v>
      </c>
      <c r="D359" s="17" t="s">
        <v>226</v>
      </c>
      <c r="E359" s="17" t="s">
        <v>163</v>
      </c>
      <c r="F359" s="23" t="s">
        <v>231</v>
      </c>
      <c r="G359" s="17" t="s">
        <v>114</v>
      </c>
      <c r="H359" s="18">
        <v>0</v>
      </c>
      <c r="I359" s="18">
        <v>110068.4600</v>
      </c>
      <c r="J359" s="18">
        <f ca="1">((J358 + H359) - I359)</f>
        <v>0</v>
      </c>
      <c r="K359" s="18">
        <v>0</v>
      </c>
      <c r="L359" s="19">
        <v>0</v>
      </c>
      <c r="M359" s="17" t="s">
        <v>157</v>
      </c>
    </row>
    <row r="360" ht="10.95" customHeight="true" customFormat="true" s="9">
      <c r="A360" s="16">
        <v>45473</v>
      </c>
      <c r="B360" s="17" t="s">
        <v>225</v>
      </c>
      <c r="C360" s="17" t="s">
        <v>152</v>
      </c>
      <c r="D360" s="17" t="s">
        <v>226</v>
      </c>
      <c r="E360" s="17" t="s">
        <v>163</v>
      </c>
      <c r="F360" s="17" t="s">
        <v>232</v>
      </c>
      <c r="G360" s="17" t="s">
        <v>128</v>
      </c>
      <c r="H360" s="18">
        <v>0</v>
      </c>
      <c r="I360" s="18">
        <v>36783.8900</v>
      </c>
      <c r="J360" s="18">
        <f ca="1">((J359 + H360) - I360)</f>
        <v>0</v>
      </c>
      <c r="K360" s="18">
        <v>0</v>
      </c>
      <c r="L360" s="19">
        <v>0</v>
      </c>
      <c r="M360" s="17" t="s">
        <v>157</v>
      </c>
    </row>
    <row r="361" ht="10.95" customHeight="true" customFormat="true" s="9">
      <c r="A361" s="16">
        <v>45473</v>
      </c>
      <c r="B361" s="17" t="s">
        <v>225</v>
      </c>
      <c r="C361" s="17" t="s">
        <v>152</v>
      </c>
      <c r="D361" s="17" t="s">
        <v>226</v>
      </c>
      <c r="E361" s="17" t="s">
        <v>163</v>
      </c>
      <c r="F361" s="17" t="s">
        <v>232</v>
      </c>
      <c r="G361" s="17" t="s">
        <v>126</v>
      </c>
      <c r="H361" s="18">
        <v>0</v>
      </c>
      <c r="I361" s="18">
        <v>18447.1700</v>
      </c>
      <c r="J361" s="18">
        <f ca="1">((J360 + H361) - I361)</f>
        <v>0</v>
      </c>
      <c r="K361" s="18">
        <v>0</v>
      </c>
      <c r="L361" s="19">
        <v>0</v>
      </c>
      <c r="M361" s="17" t="s">
        <v>157</v>
      </c>
    </row>
    <row r="362" ht="10.95" customHeight="true" customFormat="true" s="9">
      <c r="A362" s="16">
        <v>45565</v>
      </c>
      <c r="B362" s="17" t="s">
        <v>225</v>
      </c>
      <c r="C362" s="17" t="s">
        <v>152</v>
      </c>
      <c r="D362" s="17" t="s">
        <v>226</v>
      </c>
      <c r="E362" s="17" t="s">
        <v>154</v>
      </c>
      <c r="F362" s="17" t="s">
        <v>233</v>
      </c>
      <c r="G362" s="17" t="s">
        <v>234</v>
      </c>
      <c r="H362" s="18">
        <v>55.0700</v>
      </c>
      <c r="I362" s="18">
        <v>0</v>
      </c>
      <c r="J362" s="18">
        <f ca="1">((J361 + H362) - I362)</f>
        <v>0</v>
      </c>
      <c r="K362" s="18">
        <v>0</v>
      </c>
      <c r="L362" s="19">
        <v>0</v>
      </c>
      <c r="M362" s="17" t="s">
        <v>157</v>
      </c>
    </row>
    <row r="363" ht="10.95" customHeight="true" customFormat="true" s="9">
      <c r="A363" s="16">
        <v>45626</v>
      </c>
      <c r="B363" s="17" t="s">
        <v>225</v>
      </c>
      <c r="C363" s="17" t="s">
        <v>152</v>
      </c>
      <c r="D363" s="17" t="s">
        <v>226</v>
      </c>
      <c r="E363" s="17" t="s">
        <v>163</v>
      </c>
      <c r="F363" s="17" t="s">
        <v>235</v>
      </c>
      <c r="G363" s="17" t="s">
        <v>236</v>
      </c>
      <c r="H363" s="18">
        <v>0</v>
      </c>
      <c r="I363" s="18">
        <v>56350.0100</v>
      </c>
      <c r="J363" s="18">
        <f ca="1">((J362 + H363) - I363)</f>
        <v>0</v>
      </c>
      <c r="K363" s="18">
        <v>0</v>
      </c>
      <c r="L363" s="19">
        <v>0</v>
      </c>
      <c r="M363" s="17" t="s">
        <v>165</v>
      </c>
    </row>
    <row r="364" ht="10.95" customHeight="true" customFormat="true" s="9">
      <c r="A364" s="16">
        <v>45626</v>
      </c>
      <c r="B364" s="17" t="s">
        <v>225</v>
      </c>
      <c r="C364" s="17" t="s">
        <v>152</v>
      </c>
      <c r="D364" s="17" t="s">
        <v>226</v>
      </c>
      <c r="E364" s="17" t="s">
        <v>163</v>
      </c>
      <c r="F364" s="17" t="s">
        <v>237</v>
      </c>
      <c r="G364" s="17" t="s">
        <v>236</v>
      </c>
      <c r="H364" s="18">
        <v>0</v>
      </c>
      <c r="I364" s="18">
        <v>56350.0100</v>
      </c>
      <c r="J364" s="18">
        <f ca="1">((J363 + H364) - I364)</f>
        <v>0</v>
      </c>
      <c r="K364" s="18">
        <v>0</v>
      </c>
      <c r="L364" s="19">
        <v>0</v>
      </c>
      <c r="M364" s="17" t="s">
        <v>165</v>
      </c>
    </row>
    <row r="365" ht="10.95" customHeight="true" customFormat="true" s="9">
      <c r="A365" s="16">
        <v>45626</v>
      </c>
      <c r="B365" s="17" t="s">
        <v>225</v>
      </c>
      <c r="C365" s="17" t="s">
        <v>152</v>
      </c>
      <c r="D365" s="17" t="s">
        <v>226</v>
      </c>
      <c r="E365" s="17" t="s">
        <v>163</v>
      </c>
      <c r="F365" s="17" t="s">
        <v>238</v>
      </c>
      <c r="G365" s="17" t="s">
        <v>236</v>
      </c>
      <c r="H365" s="18">
        <v>0</v>
      </c>
      <c r="I365" s="18">
        <v>61049.6900</v>
      </c>
      <c r="J365" s="18">
        <f ca="1">((J364 + H365) - I365)</f>
        <v>0</v>
      </c>
      <c r="K365" s="18">
        <v>0</v>
      </c>
      <c r="L365" s="19">
        <v>0</v>
      </c>
      <c r="M365" s="17" t="s">
        <v>165</v>
      </c>
    </row>
    <row r="366" ht="10.95" customHeight="true" customFormat="true" s="9">
      <c r="A366" s="16">
        <v>45688</v>
      </c>
      <c r="B366" s="17" t="s">
        <v>225</v>
      </c>
      <c r="C366" s="17" t="s">
        <v>152</v>
      </c>
      <c r="D366" s="17" t="s">
        <v>226</v>
      </c>
      <c r="E366" s="17" t="s">
        <v>163</v>
      </c>
      <c r="F366" s="17" t="s">
        <v>239</v>
      </c>
      <c r="G366" s="17" t="s">
        <v>240</v>
      </c>
      <c r="H366" s="18">
        <v>0</v>
      </c>
      <c r="I366" s="18">
        <v>23622.2000</v>
      </c>
      <c r="J366" s="18">
        <f ca="1">((J365 + H366) - I366)</f>
        <v>0</v>
      </c>
      <c r="K366" s="18">
        <v>0</v>
      </c>
      <c r="L366" s="19">
        <v>0</v>
      </c>
      <c r="M366" s="17" t="s">
        <v>157</v>
      </c>
    </row>
    <row r="367" ht="10.95" customHeight="true" customFormat="true" s="9">
      <c r="A367" s="16">
        <v>45688</v>
      </c>
      <c r="B367" s="17" t="s">
        <v>225</v>
      </c>
      <c r="C367" s="17" t="s">
        <v>152</v>
      </c>
      <c r="D367" s="17" t="s">
        <v>226</v>
      </c>
      <c r="E367" s="17" t="s">
        <v>163</v>
      </c>
      <c r="F367" s="17" t="s">
        <v>241</v>
      </c>
      <c r="G367" s="17" t="s">
        <v>242</v>
      </c>
      <c r="H367" s="18">
        <v>0</v>
      </c>
      <c r="I367" s="18">
        <v>59055.5000</v>
      </c>
      <c r="J367" s="18">
        <f ca="1">((J366 + H367) - I367)</f>
        <v>0</v>
      </c>
      <c r="K367" s="18">
        <v>0</v>
      </c>
      <c r="L367" s="19">
        <v>0</v>
      </c>
      <c r="M367" s="17" t="s">
        <v>157</v>
      </c>
    </row>
    <row r="368" ht="21.3" customHeight="true" customFormat="true" s="9">
      <c r="A368" s="16">
        <v>45688</v>
      </c>
      <c r="B368" s="17" t="s">
        <v>225</v>
      </c>
      <c r="C368" s="17" t="s">
        <v>152</v>
      </c>
      <c r="D368" s="17" t="s">
        <v>226</v>
      </c>
      <c r="E368" s="17" t="s">
        <v>163</v>
      </c>
      <c r="F368" s="23" t="s">
        <v>243</v>
      </c>
      <c r="G368" s="17" t="s">
        <v>242</v>
      </c>
      <c r="H368" s="18">
        <v>0</v>
      </c>
      <c r="I368" s="18">
        <v>63980.8100</v>
      </c>
      <c r="J368" s="18">
        <f ca="1">((J367 + H368) - I368)</f>
        <v>0</v>
      </c>
      <c r="K368" s="18">
        <v>0</v>
      </c>
      <c r="L368" s="19">
        <v>0</v>
      </c>
      <c r="M368" s="17" t="s">
        <v>157</v>
      </c>
    </row>
    <row r="369" ht="10.95" customHeight="true" customFormat="true" s="9">
      <c r="A369" s="16">
        <v>45688</v>
      </c>
      <c r="B369" s="17" t="s">
        <v>225</v>
      </c>
      <c r="C369" s="17" t="s">
        <v>152</v>
      </c>
      <c r="D369" s="17" t="s">
        <v>226</v>
      </c>
      <c r="E369" s="17" t="s">
        <v>163</v>
      </c>
      <c r="F369" s="17" t="s">
        <v>244</v>
      </c>
      <c r="G369" s="17" t="s">
        <v>242</v>
      </c>
      <c r="H369" s="18">
        <v>0</v>
      </c>
      <c r="I369" s="18">
        <v>59055.5000</v>
      </c>
      <c r="J369" s="18">
        <f ca="1">((J368 + H369) - I369)</f>
        <v>0</v>
      </c>
      <c r="K369" s="18">
        <v>0</v>
      </c>
      <c r="L369" s="19">
        <v>0</v>
      </c>
      <c r="M369" s="17" t="s">
        <v>157</v>
      </c>
    </row>
    <row r="370" ht="10.95" customHeight="true" customFormat="true" s="9">
      <c r="A370" s="16">
        <v>45688</v>
      </c>
      <c r="B370" s="17" t="s">
        <v>225</v>
      </c>
      <c r="C370" s="17" t="s">
        <v>152</v>
      </c>
      <c r="D370" s="17" t="s">
        <v>226</v>
      </c>
      <c r="E370" s="17" t="s">
        <v>163</v>
      </c>
      <c r="F370" s="17" t="s">
        <v>232</v>
      </c>
      <c r="G370" s="17" t="s">
        <v>242</v>
      </c>
      <c r="H370" s="18">
        <v>0</v>
      </c>
      <c r="I370" s="18">
        <v>59055.5000</v>
      </c>
      <c r="J370" s="18">
        <f ca="1">((J369 + H370) - I370)</f>
        <v>0</v>
      </c>
      <c r="K370" s="18">
        <v>0</v>
      </c>
      <c r="L370" s="19">
        <v>0</v>
      </c>
      <c r="M370" s="17" t="s">
        <v>157</v>
      </c>
    </row>
    <row r="371" ht="10.95" customHeight="true" customFormat="true" s="9">
      <c r="A371" s="16">
        <v>45688</v>
      </c>
      <c r="B371" s="17" t="s">
        <v>225</v>
      </c>
      <c r="C371" s="17" t="s">
        <v>152</v>
      </c>
      <c r="D371" s="17" t="s">
        <v>226</v>
      </c>
      <c r="E371" s="17" t="s">
        <v>163</v>
      </c>
      <c r="F371" s="17" t="s">
        <v>235</v>
      </c>
      <c r="G371" s="17" t="s">
        <v>222</v>
      </c>
      <c r="H371" s="18">
        <v>0</v>
      </c>
      <c r="I371" s="18">
        <v>59055.5000</v>
      </c>
      <c r="J371" s="18">
        <f ca="1">((J370 + H371) - I371)</f>
        <v>0</v>
      </c>
      <c r="K371" s="18">
        <v>0</v>
      </c>
      <c r="L371" s="19">
        <v>0</v>
      </c>
      <c r="M371" s="17" t="s">
        <v>157</v>
      </c>
    </row>
    <row r="372" ht="10.95" customHeight="true" customFormat="true" s="9">
      <c r="A372" s="20" t="s">
        <v>245</v>
      </c>
      <c r="B372" s="20"/>
      <c r="C372" s="20"/>
      <c r="D372" s="20"/>
      <c r="E372" s="20"/>
      <c r="F372" s="20"/>
      <c r="G372" s="20"/>
      <c r="H372" s="21">
        <f ca="1">SUM(H354:H371)</f>
        <v>0</v>
      </c>
      <c r="I372" s="21">
        <f ca="1">SUM(I354:I371)</f>
        <v>0</v>
      </c>
      <c r="J372" s="21">
        <f ca="1">J371</f>
        <v>0</v>
      </c>
      <c r="K372" s="21">
        <f ca="1">SUM(K354:K371)</f>
        <v>0</v>
      </c>
      <c r="L372" s="20"/>
      <c r="M372" s="20"/>
    </row>
    <row r="373" ht="10.95" customHeight="true" customFormat="true" s="9">
      <c r="A373" s="20" t="s">
        <v>25</v>
      </c>
      <c r="B373" s="20"/>
      <c r="C373" s="20"/>
      <c r="D373" s="20"/>
      <c r="E373" s="20"/>
      <c r="F373" s="20"/>
      <c r="G373" s="20"/>
      <c r="H373" s="21">
        <v>0</v>
      </c>
      <c r="I373" s="21">
        <v>925841.9300</v>
      </c>
      <c r="J373" s="21">
        <v>0</v>
      </c>
      <c r="K373" s="21">
        <v>0</v>
      </c>
      <c r="L373" s="20"/>
      <c r="M373" s="20"/>
    </row>
    <row r="374" ht="10.95" customHeight="true" customFormat="true" s="9">
      <c r="A374" s="10" t="s">
        <v>26</v>
      </c>
      <c r="B374" s="10"/>
      <c r="C374" s="10"/>
      <c r="D374" s="10"/>
      <c r="E374" s="10"/>
      <c r="F374" s="10"/>
      <c r="G374" s="10"/>
      <c r="H374" s="11">
        <v>0</v>
      </c>
      <c r="I374" s="11">
        <v>925841.9300</v>
      </c>
      <c r="J374" s="11">
        <f ca="1">J371</f>
        <v>0</v>
      </c>
      <c r="K374" s="11">
        <v>0</v>
      </c>
      <c r="L374" s="10"/>
      <c r="M374" s="10"/>
    </row>
    <row r="375" ht="13.35" customHeight="true"/>
    <row r="376" ht="12.1" customHeight="true" customFormat="true" s="5">
      <c r="A376" s="8" t="s">
        <v>246</v>
      </c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</row>
    <row r="377" ht="10.95" customHeight="true" customFormat="true" s="9">
      <c r="A377" s="10" t="s">
        <v>17</v>
      </c>
      <c r="B377" s="10"/>
      <c r="C377" s="10"/>
      <c r="D377" s="10"/>
      <c r="E377" s="10"/>
      <c r="F377" s="10"/>
      <c r="G377" s="10"/>
      <c r="H377" s="11">
        <v>0</v>
      </c>
      <c r="I377" s="11">
        <v>0</v>
      </c>
      <c r="J377" s="11">
        <f ca="1">(H377 - I377)</f>
        <v>0</v>
      </c>
      <c r="K377" s="11">
        <v>0</v>
      </c>
      <c r="L377" s="10"/>
      <c r="M377" s="10"/>
    </row>
    <row r="378" ht="10.95" customHeight="true" customFormat="true" s="9">
      <c r="A378" s="12">
        <v>45443</v>
      </c>
      <c r="B378" s="13" t="s">
        <v>247</v>
      </c>
      <c r="C378" s="13" t="s">
        <v>152</v>
      </c>
      <c r="D378" s="13" t="s">
        <v>248</v>
      </c>
      <c r="E378" s="13" t="s">
        <v>163</v>
      </c>
      <c r="F378" s="13" t="s">
        <v>249</v>
      </c>
      <c r="G378" s="13" t="s">
        <v>92</v>
      </c>
      <c r="H378" s="14">
        <v>0</v>
      </c>
      <c r="I378" s="14">
        <v>65191.6700</v>
      </c>
      <c r="J378" s="14">
        <f ca="1">((J377 + H378) - I378)</f>
        <v>0</v>
      </c>
      <c r="K378" s="14">
        <v>0</v>
      </c>
      <c r="L378" s="15">
        <v>0</v>
      </c>
      <c r="M378" s="13" t="s">
        <v>157</v>
      </c>
    </row>
    <row r="379" ht="21.3" customHeight="true" customFormat="true" s="9">
      <c r="A379" s="16">
        <v>45443</v>
      </c>
      <c r="B379" s="17" t="s">
        <v>247</v>
      </c>
      <c r="C379" s="17" t="s">
        <v>152</v>
      </c>
      <c r="D379" s="17" t="s">
        <v>248</v>
      </c>
      <c r="E379" s="17" t="s">
        <v>163</v>
      </c>
      <c r="F379" s="23" t="s">
        <v>250</v>
      </c>
      <c r="G379" s="17" t="s">
        <v>93</v>
      </c>
      <c r="H379" s="18">
        <v>0</v>
      </c>
      <c r="I379" s="18">
        <v>103640.4800</v>
      </c>
      <c r="J379" s="18">
        <f ca="1">((J378 + H379) - I379)</f>
        <v>0</v>
      </c>
      <c r="K379" s="18">
        <v>0</v>
      </c>
      <c r="L379" s="19">
        <v>0</v>
      </c>
      <c r="M379" s="17" t="s">
        <v>157</v>
      </c>
    </row>
    <row r="380" ht="21.3" customHeight="true" customFormat="true" s="9">
      <c r="A380" s="16">
        <v>45443</v>
      </c>
      <c r="B380" s="17" t="s">
        <v>247</v>
      </c>
      <c r="C380" s="17" t="s">
        <v>152</v>
      </c>
      <c r="D380" s="17" t="s">
        <v>248</v>
      </c>
      <c r="E380" s="17" t="s">
        <v>163</v>
      </c>
      <c r="F380" s="23" t="s">
        <v>251</v>
      </c>
      <c r="G380" s="17" t="s">
        <v>93</v>
      </c>
      <c r="H380" s="18">
        <v>0</v>
      </c>
      <c r="I380" s="18">
        <v>43379.3900</v>
      </c>
      <c r="J380" s="18">
        <f ca="1">((J379 + H380) - I380)</f>
        <v>0</v>
      </c>
      <c r="K380" s="18">
        <v>0</v>
      </c>
      <c r="L380" s="19">
        <v>0</v>
      </c>
      <c r="M380" s="17" t="s">
        <v>157</v>
      </c>
    </row>
    <row r="381" ht="21.3" customHeight="true" customFormat="true" s="9">
      <c r="A381" s="16">
        <v>45443</v>
      </c>
      <c r="B381" s="17" t="s">
        <v>247</v>
      </c>
      <c r="C381" s="17" t="s">
        <v>152</v>
      </c>
      <c r="D381" s="17" t="s">
        <v>248</v>
      </c>
      <c r="E381" s="17" t="s">
        <v>163</v>
      </c>
      <c r="F381" s="23" t="s">
        <v>252</v>
      </c>
      <c r="G381" s="17" t="s">
        <v>116</v>
      </c>
      <c r="H381" s="18">
        <v>0</v>
      </c>
      <c r="I381" s="18">
        <v>32546.9600</v>
      </c>
      <c r="J381" s="18">
        <f ca="1">((J380 + H381) - I381)</f>
        <v>0</v>
      </c>
      <c r="K381" s="18">
        <v>0</v>
      </c>
      <c r="L381" s="19">
        <v>0</v>
      </c>
      <c r="M381" s="17" t="s">
        <v>157</v>
      </c>
    </row>
    <row r="382" ht="10.95" customHeight="true" customFormat="true" s="9">
      <c r="A382" s="16">
        <v>45473</v>
      </c>
      <c r="B382" s="17" t="s">
        <v>247</v>
      </c>
      <c r="C382" s="17" t="s">
        <v>152</v>
      </c>
      <c r="D382" s="17" t="s">
        <v>248</v>
      </c>
      <c r="E382" s="17" t="s">
        <v>163</v>
      </c>
      <c r="F382" s="17" t="s">
        <v>253</v>
      </c>
      <c r="G382" s="17" t="s">
        <v>128</v>
      </c>
      <c r="H382" s="18">
        <v>0</v>
      </c>
      <c r="I382" s="18">
        <v>43534.5500</v>
      </c>
      <c r="J382" s="18">
        <f ca="1">((J381 + H382) - I382)</f>
        <v>0</v>
      </c>
      <c r="K382" s="18">
        <v>0</v>
      </c>
      <c r="L382" s="19">
        <v>0</v>
      </c>
      <c r="M382" s="17" t="s">
        <v>157</v>
      </c>
    </row>
    <row r="383" ht="10.95" customHeight="true" customFormat="true" s="9">
      <c r="A383" s="16">
        <v>45504</v>
      </c>
      <c r="B383" s="17" t="s">
        <v>247</v>
      </c>
      <c r="C383" s="17" t="s">
        <v>152</v>
      </c>
      <c r="D383" s="17" t="s">
        <v>248</v>
      </c>
      <c r="E383" s="17" t="s">
        <v>163</v>
      </c>
      <c r="F383" s="17" t="s">
        <v>254</v>
      </c>
      <c r="G383" s="17" t="s">
        <v>140</v>
      </c>
      <c r="H383" s="18">
        <v>0</v>
      </c>
      <c r="I383" s="18">
        <v>71502.3400</v>
      </c>
      <c r="J383" s="18">
        <f ca="1">((J382 + H383) - I383)</f>
        <v>0</v>
      </c>
      <c r="K383" s="18">
        <v>0</v>
      </c>
      <c r="L383" s="19">
        <v>0</v>
      </c>
      <c r="M383" s="17" t="s">
        <v>165</v>
      </c>
    </row>
    <row r="384" ht="10.95" customHeight="true" customFormat="true" s="9">
      <c r="A384" s="16">
        <v>45565</v>
      </c>
      <c r="B384" s="17" t="s">
        <v>247</v>
      </c>
      <c r="C384" s="17" t="s">
        <v>152</v>
      </c>
      <c r="D384" s="17" t="s">
        <v>248</v>
      </c>
      <c r="E384" s="17" t="s">
        <v>163</v>
      </c>
      <c r="F384" s="17" t="s">
        <v>255</v>
      </c>
      <c r="G384" s="17" t="s">
        <v>148</v>
      </c>
      <c r="H384" s="18">
        <v>0</v>
      </c>
      <c r="I384" s="18">
        <v>26709.4700</v>
      </c>
      <c r="J384" s="18">
        <f ca="1">((J383 + H384) - I384)</f>
        <v>0</v>
      </c>
      <c r="K384" s="18">
        <v>0</v>
      </c>
      <c r="L384" s="19">
        <v>0</v>
      </c>
      <c r="M384" s="17" t="s">
        <v>165</v>
      </c>
    </row>
    <row r="385" ht="10.95" customHeight="true" customFormat="true" s="9">
      <c r="A385" s="20" t="s">
        <v>256</v>
      </c>
      <c r="B385" s="20"/>
      <c r="C385" s="20"/>
      <c r="D385" s="20"/>
      <c r="E385" s="20"/>
      <c r="F385" s="20"/>
      <c r="G385" s="20"/>
      <c r="H385" s="21">
        <f ca="1">SUM(H378:H384)</f>
        <v>0</v>
      </c>
      <c r="I385" s="21">
        <f ca="1">SUM(I378:I384)</f>
        <v>0</v>
      </c>
      <c r="J385" s="21">
        <f ca="1">J384</f>
        <v>0</v>
      </c>
      <c r="K385" s="21">
        <f ca="1">SUM(K378:K384)</f>
        <v>0</v>
      </c>
      <c r="L385" s="20"/>
      <c r="M385" s="20"/>
    </row>
    <row r="386" ht="10.95" customHeight="true" customFormat="true" s="9">
      <c r="A386" s="20" t="s">
        <v>25</v>
      </c>
      <c r="B386" s="20"/>
      <c r="C386" s="20"/>
      <c r="D386" s="20"/>
      <c r="E386" s="20"/>
      <c r="F386" s="20"/>
      <c r="G386" s="20"/>
      <c r="H386" s="21">
        <v>0</v>
      </c>
      <c r="I386" s="21">
        <v>386504.8600</v>
      </c>
      <c r="J386" s="21">
        <v>0</v>
      </c>
      <c r="K386" s="21">
        <v>0</v>
      </c>
      <c r="L386" s="20"/>
      <c r="M386" s="20"/>
    </row>
    <row r="387" ht="10.95" customHeight="true" customFormat="true" s="9">
      <c r="A387" s="10" t="s">
        <v>26</v>
      </c>
      <c r="B387" s="10"/>
      <c r="C387" s="10"/>
      <c r="D387" s="10"/>
      <c r="E387" s="10"/>
      <c r="F387" s="10"/>
      <c r="G387" s="10"/>
      <c r="H387" s="11">
        <v>0</v>
      </c>
      <c r="I387" s="11">
        <v>386504.8600</v>
      </c>
      <c r="J387" s="11">
        <f ca="1">J384</f>
        <v>0</v>
      </c>
      <c r="K387" s="11">
        <v>0</v>
      </c>
      <c r="L387" s="10"/>
      <c r="M387" s="10"/>
    </row>
    <row r="388" ht="13.35" customHeight="true"/>
    <row r="389" ht="12.1" customHeight="true" customFormat="true" s="5">
      <c r="A389" s="8" t="s">
        <v>257</v>
      </c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</row>
    <row r="390" ht="10.95" customHeight="true" customFormat="true" s="9">
      <c r="A390" s="10" t="s">
        <v>17</v>
      </c>
      <c r="B390" s="10"/>
      <c r="C390" s="10"/>
      <c r="D390" s="10"/>
      <c r="E390" s="10"/>
      <c r="F390" s="10"/>
      <c r="G390" s="10"/>
      <c r="H390" s="11">
        <v>0</v>
      </c>
      <c r="I390" s="11">
        <v>0</v>
      </c>
      <c r="J390" s="11">
        <f ca="1">(H390 - I390)</f>
        <v>0</v>
      </c>
      <c r="K390" s="11">
        <v>0</v>
      </c>
      <c r="L390" s="10"/>
      <c r="M390" s="10"/>
    </row>
    <row r="391" ht="31.65" customHeight="true" customFormat="true" s="9">
      <c r="A391" s="12">
        <v>45443</v>
      </c>
      <c r="B391" s="13" t="s">
        <v>258</v>
      </c>
      <c r="C391" s="13" t="s">
        <v>152</v>
      </c>
      <c r="D391" s="13" t="s">
        <v>259</v>
      </c>
      <c r="E391" s="13" t="s">
        <v>163</v>
      </c>
      <c r="F391" s="22" t="s">
        <v>260</v>
      </c>
      <c r="G391" s="13" t="s">
        <v>261</v>
      </c>
      <c r="H391" s="14">
        <v>0</v>
      </c>
      <c r="I391" s="14">
        <v>768.4100</v>
      </c>
      <c r="J391" s="14">
        <f ca="1">((J390 + H391) - I391)</f>
        <v>0</v>
      </c>
      <c r="K391" s="14">
        <v>0</v>
      </c>
      <c r="L391" s="15">
        <v>0</v>
      </c>
      <c r="M391" s="13" t="s">
        <v>157</v>
      </c>
    </row>
    <row r="392" ht="21.3" customHeight="true" customFormat="true" s="9">
      <c r="A392" s="16">
        <v>45443</v>
      </c>
      <c r="B392" s="17" t="s">
        <v>258</v>
      </c>
      <c r="C392" s="17" t="s">
        <v>152</v>
      </c>
      <c r="D392" s="17" t="s">
        <v>259</v>
      </c>
      <c r="E392" s="17" t="s">
        <v>163</v>
      </c>
      <c r="F392" s="23" t="s">
        <v>262</v>
      </c>
      <c r="G392" s="17" t="s">
        <v>117</v>
      </c>
      <c r="H392" s="18">
        <v>0</v>
      </c>
      <c r="I392" s="18">
        <v>128068.2100</v>
      </c>
      <c r="J392" s="18">
        <f ca="1">((J391 + H392) - I392)</f>
        <v>0</v>
      </c>
      <c r="K392" s="18">
        <v>0</v>
      </c>
      <c r="L392" s="19">
        <v>0</v>
      </c>
      <c r="M392" s="17" t="s">
        <v>157</v>
      </c>
    </row>
    <row r="393" ht="31.65" customHeight="true" customFormat="true" s="9">
      <c r="A393" s="16">
        <v>45443</v>
      </c>
      <c r="B393" s="17" t="s">
        <v>258</v>
      </c>
      <c r="C393" s="17" t="s">
        <v>152</v>
      </c>
      <c r="D393" s="17" t="s">
        <v>259</v>
      </c>
      <c r="E393" s="17" t="s">
        <v>170</v>
      </c>
      <c r="F393" s="23" t="s">
        <v>260</v>
      </c>
      <c r="G393" s="17" t="s">
        <v>261</v>
      </c>
      <c r="H393" s="18">
        <v>768.4100</v>
      </c>
      <c r="I393" s="18">
        <v>0</v>
      </c>
      <c r="J393" s="18">
        <f ca="1">((J392 + H393) - I393)</f>
        <v>0</v>
      </c>
      <c r="K393" s="18">
        <v>0</v>
      </c>
      <c r="L393" s="19">
        <v>0</v>
      </c>
      <c r="M393" s="17" t="s">
        <v>157</v>
      </c>
    </row>
    <row r="394" ht="10.95" customHeight="true" customFormat="true" s="9">
      <c r="A394" s="16">
        <v>45473</v>
      </c>
      <c r="B394" s="17" t="s">
        <v>258</v>
      </c>
      <c r="C394" s="17" t="s">
        <v>152</v>
      </c>
      <c r="D394" s="17" t="s">
        <v>259</v>
      </c>
      <c r="E394" s="17" t="s">
        <v>163</v>
      </c>
      <c r="F394" s="17" t="s">
        <v>263</v>
      </c>
      <c r="G394" s="17" t="s">
        <v>128</v>
      </c>
      <c r="H394" s="18">
        <v>0</v>
      </c>
      <c r="I394" s="18">
        <v>171454.0400</v>
      </c>
      <c r="J394" s="18">
        <f ca="1">((J393 + H394) - I394)</f>
        <v>0</v>
      </c>
      <c r="K394" s="18">
        <v>0</v>
      </c>
      <c r="L394" s="19">
        <v>0</v>
      </c>
      <c r="M394" s="17" t="s">
        <v>157</v>
      </c>
    </row>
    <row r="395" ht="21.3" customHeight="true" customFormat="true" s="9">
      <c r="A395" s="16">
        <v>45473</v>
      </c>
      <c r="B395" s="17" t="s">
        <v>258</v>
      </c>
      <c r="C395" s="17" t="s">
        <v>152</v>
      </c>
      <c r="D395" s="17" t="s">
        <v>259</v>
      </c>
      <c r="E395" s="17" t="s">
        <v>163</v>
      </c>
      <c r="F395" s="23" t="s">
        <v>264</v>
      </c>
      <c r="G395" s="17" t="s">
        <v>128</v>
      </c>
      <c r="H395" s="18">
        <v>0</v>
      </c>
      <c r="I395" s="18">
        <v>133177.7800</v>
      </c>
      <c r="J395" s="18">
        <f ca="1">((J394 + H395) - I395)</f>
        <v>0</v>
      </c>
      <c r="K395" s="18">
        <v>0</v>
      </c>
      <c r="L395" s="19">
        <v>0</v>
      </c>
      <c r="M395" s="17" t="s">
        <v>157</v>
      </c>
    </row>
    <row r="396" ht="10.95" customHeight="true" customFormat="true" s="9">
      <c r="A396" s="16">
        <v>45565</v>
      </c>
      <c r="B396" s="17" t="s">
        <v>258</v>
      </c>
      <c r="C396" s="17" t="s">
        <v>152</v>
      </c>
      <c r="D396" s="17" t="s">
        <v>259</v>
      </c>
      <c r="E396" s="17" t="s">
        <v>163</v>
      </c>
      <c r="F396" s="17" t="s">
        <v>265</v>
      </c>
      <c r="G396" s="17" t="s">
        <v>148</v>
      </c>
      <c r="H396" s="18">
        <v>0</v>
      </c>
      <c r="I396" s="18">
        <v>123231.5600</v>
      </c>
      <c r="J396" s="18">
        <f ca="1">((J395 + H396) - I396)</f>
        <v>0</v>
      </c>
      <c r="K396" s="18">
        <v>0</v>
      </c>
      <c r="L396" s="19">
        <v>0</v>
      </c>
      <c r="M396" s="17" t="s">
        <v>165</v>
      </c>
    </row>
    <row r="397" ht="10.95" customHeight="true" customFormat="true" s="9">
      <c r="A397" s="20" t="s">
        <v>266</v>
      </c>
      <c r="B397" s="20"/>
      <c r="C397" s="20"/>
      <c r="D397" s="20"/>
      <c r="E397" s="20"/>
      <c r="F397" s="20"/>
      <c r="G397" s="20"/>
      <c r="H397" s="21">
        <f ca="1">SUM(H391:H396)</f>
        <v>0</v>
      </c>
      <c r="I397" s="21">
        <f ca="1">SUM(I391:I396)</f>
        <v>0</v>
      </c>
      <c r="J397" s="21">
        <f ca="1">J396</f>
        <v>0</v>
      </c>
      <c r="K397" s="21">
        <f ca="1">SUM(K391:K396)</f>
        <v>0</v>
      </c>
      <c r="L397" s="20"/>
      <c r="M397" s="20"/>
    </row>
    <row r="398" ht="10.95" customHeight="true" customFormat="true" s="9">
      <c r="A398" s="20" t="s">
        <v>25</v>
      </c>
      <c r="B398" s="20"/>
      <c r="C398" s="20"/>
      <c r="D398" s="20"/>
      <c r="E398" s="20"/>
      <c r="F398" s="20"/>
      <c r="G398" s="20"/>
      <c r="H398" s="21">
        <v>0</v>
      </c>
      <c r="I398" s="21">
        <v>555931.5900</v>
      </c>
      <c r="J398" s="21">
        <v>0</v>
      </c>
      <c r="K398" s="21">
        <v>0</v>
      </c>
      <c r="L398" s="20"/>
      <c r="M398" s="20"/>
    </row>
    <row r="399" ht="10.95" customHeight="true" customFormat="true" s="9">
      <c r="A399" s="10" t="s">
        <v>26</v>
      </c>
      <c r="B399" s="10"/>
      <c r="C399" s="10"/>
      <c r="D399" s="10"/>
      <c r="E399" s="10"/>
      <c r="F399" s="10"/>
      <c r="G399" s="10"/>
      <c r="H399" s="11">
        <v>0</v>
      </c>
      <c r="I399" s="11">
        <v>555931.5900</v>
      </c>
      <c r="J399" s="11">
        <f ca="1">J396</f>
        <v>0</v>
      </c>
      <c r="K399" s="11">
        <v>0</v>
      </c>
      <c r="L399" s="10"/>
      <c r="M399" s="10"/>
    </row>
    <row r="400" ht="13.35" customHeight="true"/>
    <row r="401" ht="12.1" customHeight="true" customFormat="true" s="5">
      <c r="A401" s="8" t="s">
        <v>267</v>
      </c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</row>
    <row r="402" ht="10.95" customHeight="true" customFormat="true" s="9">
      <c r="A402" s="10" t="s">
        <v>17</v>
      </c>
      <c r="B402" s="10"/>
      <c r="C402" s="10"/>
      <c r="D402" s="10"/>
      <c r="E402" s="10"/>
      <c r="F402" s="10"/>
      <c r="G402" s="10"/>
      <c r="H402" s="11">
        <v>0</v>
      </c>
      <c r="I402" s="11">
        <v>0</v>
      </c>
      <c r="J402" s="11">
        <f ca="1">(H402 - I402)</f>
        <v>0</v>
      </c>
      <c r="K402" s="11">
        <v>0</v>
      </c>
      <c r="L402" s="10"/>
      <c r="M402" s="10"/>
    </row>
    <row r="403" ht="21.3" customHeight="true" customFormat="true" s="9">
      <c r="A403" s="12">
        <v>45443</v>
      </c>
      <c r="B403" s="13" t="s">
        <v>268</v>
      </c>
      <c r="C403" s="13" t="s">
        <v>152</v>
      </c>
      <c r="D403" s="13" t="s">
        <v>269</v>
      </c>
      <c r="E403" s="13" t="s">
        <v>163</v>
      </c>
      <c r="F403" s="22" t="s">
        <v>270</v>
      </c>
      <c r="G403" s="13" t="s">
        <v>106</v>
      </c>
      <c r="H403" s="14">
        <v>0</v>
      </c>
      <c r="I403" s="14">
        <v>252122.4700</v>
      </c>
      <c r="J403" s="14">
        <f ca="1">((J402 + H403) - I403)</f>
        <v>0</v>
      </c>
      <c r="K403" s="14">
        <v>0</v>
      </c>
      <c r="L403" s="15">
        <v>0</v>
      </c>
      <c r="M403" s="13" t="s">
        <v>157</v>
      </c>
    </row>
    <row r="404" ht="10.95" customHeight="true" customFormat="true" s="9">
      <c r="A404" s="16">
        <v>45565</v>
      </c>
      <c r="B404" s="17" t="s">
        <v>268</v>
      </c>
      <c r="C404" s="17" t="s">
        <v>152</v>
      </c>
      <c r="D404" s="17" t="s">
        <v>269</v>
      </c>
      <c r="E404" s="17" t="s">
        <v>163</v>
      </c>
      <c r="F404" s="17" t="s">
        <v>271</v>
      </c>
      <c r="G404" s="17" t="s">
        <v>148</v>
      </c>
      <c r="H404" s="18">
        <v>0</v>
      </c>
      <c r="I404" s="18">
        <v>127076.5900</v>
      </c>
      <c r="J404" s="18">
        <f ca="1">((J403 + H404) - I404)</f>
        <v>0</v>
      </c>
      <c r="K404" s="18">
        <v>0</v>
      </c>
      <c r="L404" s="19">
        <v>0</v>
      </c>
      <c r="M404" s="17" t="s">
        <v>165</v>
      </c>
    </row>
    <row r="405" ht="10.95" customHeight="true" customFormat="true" s="9">
      <c r="A405" s="16">
        <v>45565</v>
      </c>
      <c r="B405" s="17" t="s">
        <v>268</v>
      </c>
      <c r="C405" s="17" t="s">
        <v>152</v>
      </c>
      <c r="D405" s="17" t="s">
        <v>269</v>
      </c>
      <c r="E405" s="17" t="s">
        <v>163</v>
      </c>
      <c r="F405" s="17" t="s">
        <v>272</v>
      </c>
      <c r="G405" s="17" t="s">
        <v>146</v>
      </c>
      <c r="H405" s="18">
        <v>0</v>
      </c>
      <c r="I405" s="18">
        <v>43464.4600</v>
      </c>
      <c r="J405" s="18">
        <f ca="1">((J404 + H405) - I405)</f>
        <v>0</v>
      </c>
      <c r="K405" s="18">
        <v>0</v>
      </c>
      <c r="L405" s="19">
        <v>0</v>
      </c>
      <c r="M405" s="17" t="s">
        <v>165</v>
      </c>
    </row>
    <row r="406" ht="21.3" customHeight="true" customFormat="true" s="9">
      <c r="A406" s="16">
        <v>45626</v>
      </c>
      <c r="B406" s="17" t="s">
        <v>268</v>
      </c>
      <c r="C406" s="17" t="s">
        <v>152</v>
      </c>
      <c r="D406" s="17" t="s">
        <v>269</v>
      </c>
      <c r="E406" s="17" t="s">
        <v>163</v>
      </c>
      <c r="F406" s="23" t="s">
        <v>273</v>
      </c>
      <c r="G406" s="17" t="s">
        <v>274</v>
      </c>
      <c r="H406" s="18">
        <v>0</v>
      </c>
      <c r="I406" s="18">
        <v>82824.8400</v>
      </c>
      <c r="J406" s="18">
        <f ca="1">((J405 + H406) - I406)</f>
        <v>0</v>
      </c>
      <c r="K406" s="18">
        <v>0</v>
      </c>
      <c r="L406" s="19">
        <v>0</v>
      </c>
      <c r="M406" s="17" t="s">
        <v>165</v>
      </c>
    </row>
    <row r="407" ht="10.95" customHeight="true" customFormat="true" s="9">
      <c r="A407" s="20" t="s">
        <v>275</v>
      </c>
      <c r="B407" s="20"/>
      <c r="C407" s="20"/>
      <c r="D407" s="20"/>
      <c r="E407" s="20"/>
      <c r="F407" s="20"/>
      <c r="G407" s="20"/>
      <c r="H407" s="21">
        <f ca="1">SUM(H403:H406)</f>
        <v>0</v>
      </c>
      <c r="I407" s="21">
        <f ca="1">SUM(I403:I406)</f>
        <v>0</v>
      </c>
      <c r="J407" s="21">
        <f ca="1">J406</f>
        <v>0</v>
      </c>
      <c r="K407" s="21">
        <f ca="1">SUM(K403:K406)</f>
        <v>0</v>
      </c>
      <c r="L407" s="20"/>
      <c r="M407" s="20"/>
    </row>
    <row r="408" ht="10.95" customHeight="true" customFormat="true" s="9">
      <c r="A408" s="20" t="s">
        <v>25</v>
      </c>
      <c r="B408" s="20"/>
      <c r="C408" s="20"/>
      <c r="D408" s="20"/>
      <c r="E408" s="20"/>
      <c r="F408" s="20"/>
      <c r="G408" s="20"/>
      <c r="H408" s="21">
        <v>0</v>
      </c>
      <c r="I408" s="21">
        <v>505488.3600</v>
      </c>
      <c r="J408" s="21">
        <v>0</v>
      </c>
      <c r="K408" s="21">
        <v>0</v>
      </c>
      <c r="L408" s="20"/>
      <c r="M408" s="20"/>
    </row>
    <row r="409" ht="10.95" customHeight="true" customFormat="true" s="9">
      <c r="A409" s="10" t="s">
        <v>26</v>
      </c>
      <c r="B409" s="10"/>
      <c r="C409" s="10"/>
      <c r="D409" s="10"/>
      <c r="E409" s="10"/>
      <c r="F409" s="10"/>
      <c r="G409" s="10"/>
      <c r="H409" s="11">
        <v>0</v>
      </c>
      <c r="I409" s="11">
        <v>505488.3600</v>
      </c>
      <c r="J409" s="11">
        <f ca="1">J406</f>
        <v>0</v>
      </c>
      <c r="K409" s="11">
        <v>0</v>
      </c>
      <c r="L409" s="10"/>
      <c r="M409" s="10"/>
    </row>
    <row r="410" ht="13.35" customHeight="true"/>
    <row r="411" ht="12.1" customHeight="true" customFormat="true" s="5">
      <c r="A411" s="8" t="s">
        <v>276</v>
      </c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</row>
    <row r="412" ht="10.95" customHeight="true" customFormat="true" s="9">
      <c r="A412" s="10" t="s">
        <v>17</v>
      </c>
      <c r="B412" s="10"/>
      <c r="C412" s="10"/>
      <c r="D412" s="10"/>
      <c r="E412" s="10"/>
      <c r="F412" s="10"/>
      <c r="G412" s="10"/>
      <c r="H412" s="11">
        <v>0</v>
      </c>
      <c r="I412" s="11">
        <v>0</v>
      </c>
      <c r="J412" s="11">
        <f ca="1">(H412 - I412)</f>
        <v>0</v>
      </c>
      <c r="K412" s="11">
        <v>0</v>
      </c>
      <c r="L412" s="10"/>
      <c r="M412" s="10"/>
    </row>
    <row r="413" ht="21.3" customHeight="true" customFormat="true" s="9">
      <c r="A413" s="12">
        <v>45443</v>
      </c>
      <c r="B413" s="13" t="s">
        <v>277</v>
      </c>
      <c r="C413" s="13" t="s">
        <v>152</v>
      </c>
      <c r="D413" s="13" t="s">
        <v>278</v>
      </c>
      <c r="E413" s="13" t="s">
        <v>163</v>
      </c>
      <c r="F413" s="22" t="s">
        <v>279</v>
      </c>
      <c r="G413" s="13" t="s">
        <v>107</v>
      </c>
      <c r="H413" s="14">
        <v>0</v>
      </c>
      <c r="I413" s="14">
        <v>184589.6600</v>
      </c>
      <c r="J413" s="14">
        <f ca="1">((J412 + H413) - I413)</f>
        <v>0</v>
      </c>
      <c r="K413" s="14">
        <v>0</v>
      </c>
      <c r="L413" s="15">
        <v>0</v>
      </c>
      <c r="M413" s="13" t="s">
        <v>157</v>
      </c>
    </row>
    <row r="414" ht="21.3" customHeight="true" customFormat="true" s="9">
      <c r="A414" s="16">
        <v>45443</v>
      </c>
      <c r="B414" s="17" t="s">
        <v>277</v>
      </c>
      <c r="C414" s="17" t="s">
        <v>152</v>
      </c>
      <c r="D414" s="17" t="s">
        <v>278</v>
      </c>
      <c r="E414" s="17" t="s">
        <v>163</v>
      </c>
      <c r="F414" s="23" t="s">
        <v>280</v>
      </c>
      <c r="G414" s="17" t="s">
        <v>107</v>
      </c>
      <c r="H414" s="18">
        <v>0</v>
      </c>
      <c r="I414" s="18">
        <v>199987.1500</v>
      </c>
      <c r="J414" s="18">
        <f ca="1">((J413 + H414) - I414)</f>
        <v>0</v>
      </c>
      <c r="K414" s="18">
        <v>0</v>
      </c>
      <c r="L414" s="19">
        <v>0</v>
      </c>
      <c r="M414" s="17" t="s">
        <v>157</v>
      </c>
    </row>
    <row r="415" ht="10.95" customHeight="true" customFormat="true" s="9">
      <c r="A415" s="16">
        <v>45596</v>
      </c>
      <c r="B415" s="17" t="s">
        <v>277</v>
      </c>
      <c r="C415" s="17" t="s">
        <v>152</v>
      </c>
      <c r="D415" s="17" t="s">
        <v>278</v>
      </c>
      <c r="E415" s="17" t="s">
        <v>163</v>
      </c>
      <c r="F415" s="17" t="s">
        <v>281</v>
      </c>
      <c r="G415" s="17" t="s">
        <v>282</v>
      </c>
      <c r="H415" s="18">
        <v>0</v>
      </c>
      <c r="I415" s="18">
        <v>149934.2600</v>
      </c>
      <c r="J415" s="18">
        <f ca="1">((J414 + H415) - I415)</f>
        <v>0</v>
      </c>
      <c r="K415" s="18">
        <v>0</v>
      </c>
      <c r="L415" s="19">
        <v>0</v>
      </c>
      <c r="M415" s="17" t="s">
        <v>165</v>
      </c>
    </row>
    <row r="416" ht="10.95" customHeight="true" customFormat="true" s="9">
      <c r="A416" s="16">
        <v>45596</v>
      </c>
      <c r="B416" s="17" t="s">
        <v>277</v>
      </c>
      <c r="C416" s="17" t="s">
        <v>152</v>
      </c>
      <c r="D416" s="17" t="s">
        <v>278</v>
      </c>
      <c r="E416" s="17" t="s">
        <v>163</v>
      </c>
      <c r="F416" s="17" t="s">
        <v>283</v>
      </c>
      <c r="G416" s="17" t="s">
        <v>282</v>
      </c>
      <c r="H416" s="18">
        <v>0</v>
      </c>
      <c r="I416" s="18">
        <v>162440.9700</v>
      </c>
      <c r="J416" s="18">
        <f ca="1">((J415 + H416) - I416)</f>
        <v>0</v>
      </c>
      <c r="K416" s="18">
        <v>0</v>
      </c>
      <c r="L416" s="19">
        <v>0</v>
      </c>
      <c r="M416" s="17" t="s">
        <v>165</v>
      </c>
    </row>
    <row r="417" ht="10.95" customHeight="true" customFormat="true" s="9">
      <c r="A417" s="20" t="s">
        <v>284</v>
      </c>
      <c r="B417" s="20"/>
      <c r="C417" s="20"/>
      <c r="D417" s="20"/>
      <c r="E417" s="20"/>
      <c r="F417" s="20"/>
      <c r="G417" s="20"/>
      <c r="H417" s="21">
        <f ca="1">SUM(H413:H416)</f>
        <v>0</v>
      </c>
      <c r="I417" s="21">
        <f ca="1">SUM(I413:I416)</f>
        <v>0</v>
      </c>
      <c r="J417" s="21">
        <f ca="1">J416</f>
        <v>0</v>
      </c>
      <c r="K417" s="21">
        <f ca="1">SUM(K413:K416)</f>
        <v>0</v>
      </c>
      <c r="L417" s="20"/>
      <c r="M417" s="20"/>
    </row>
    <row r="418" ht="10.95" customHeight="true" customFormat="true" s="9">
      <c r="A418" s="20" t="s">
        <v>25</v>
      </c>
      <c r="B418" s="20"/>
      <c r="C418" s="20"/>
      <c r="D418" s="20"/>
      <c r="E418" s="20"/>
      <c r="F418" s="20"/>
      <c r="G418" s="20"/>
      <c r="H418" s="21">
        <v>0</v>
      </c>
      <c r="I418" s="21">
        <v>696952.0400</v>
      </c>
      <c r="J418" s="21">
        <v>0</v>
      </c>
      <c r="K418" s="21">
        <v>0</v>
      </c>
      <c r="L418" s="20"/>
      <c r="M418" s="20"/>
    </row>
    <row r="419" ht="10.95" customHeight="true" customFormat="true" s="9">
      <c r="A419" s="10" t="s">
        <v>26</v>
      </c>
      <c r="B419" s="10"/>
      <c r="C419" s="10"/>
      <c r="D419" s="10"/>
      <c r="E419" s="10"/>
      <c r="F419" s="10"/>
      <c r="G419" s="10"/>
      <c r="H419" s="11">
        <v>0</v>
      </c>
      <c r="I419" s="11">
        <v>696952.0400</v>
      </c>
      <c r="J419" s="11">
        <f ca="1">J416</f>
        <v>0</v>
      </c>
      <c r="K419" s="11">
        <v>0</v>
      </c>
      <c r="L419" s="10"/>
      <c r="M419" s="10"/>
    </row>
    <row r="420" ht="13.35" customHeight="true"/>
    <row r="421" ht="12.1" customHeight="true" customFormat="true" s="5">
      <c r="A421" s="8" t="s">
        <v>285</v>
      </c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</row>
    <row r="422" ht="10.95" customHeight="true" customFormat="true" s="9">
      <c r="A422" s="10" t="s">
        <v>17</v>
      </c>
      <c r="B422" s="10"/>
      <c r="C422" s="10"/>
      <c r="D422" s="10"/>
      <c r="E422" s="10"/>
      <c r="F422" s="10"/>
      <c r="G422" s="10"/>
      <c r="H422" s="11">
        <v>0</v>
      </c>
      <c r="I422" s="11">
        <v>0</v>
      </c>
      <c r="J422" s="11">
        <f ca="1">(H422 - I422)</f>
        <v>0</v>
      </c>
      <c r="K422" s="11">
        <v>0</v>
      </c>
      <c r="L422" s="10"/>
      <c r="M422" s="10"/>
    </row>
    <row r="423" ht="21.3" customHeight="true" customFormat="true" s="9">
      <c r="A423" s="12">
        <v>45443</v>
      </c>
      <c r="B423" s="13" t="s">
        <v>286</v>
      </c>
      <c r="C423" s="13" t="s">
        <v>152</v>
      </c>
      <c r="D423" s="13" t="s">
        <v>287</v>
      </c>
      <c r="E423" s="13" t="s">
        <v>163</v>
      </c>
      <c r="F423" s="22" t="s">
        <v>288</v>
      </c>
      <c r="G423" s="13" t="s">
        <v>119</v>
      </c>
      <c r="H423" s="14">
        <v>0</v>
      </c>
      <c r="I423" s="14">
        <v>252122.4700</v>
      </c>
      <c r="J423" s="14">
        <f ca="1">((J422 + H423) - I423)</f>
        <v>0</v>
      </c>
      <c r="K423" s="14">
        <v>0</v>
      </c>
      <c r="L423" s="15">
        <v>0</v>
      </c>
      <c r="M423" s="13" t="s">
        <v>157</v>
      </c>
    </row>
    <row r="424" ht="21.3" customHeight="true" customFormat="true" s="9">
      <c r="A424" s="16">
        <v>45443</v>
      </c>
      <c r="B424" s="17" t="s">
        <v>286</v>
      </c>
      <c r="C424" s="17" t="s">
        <v>152</v>
      </c>
      <c r="D424" s="17" t="s">
        <v>287</v>
      </c>
      <c r="E424" s="17" t="s">
        <v>163</v>
      </c>
      <c r="F424" s="23" t="s">
        <v>289</v>
      </c>
      <c r="G424" s="17" t="s">
        <v>120</v>
      </c>
      <c r="H424" s="18">
        <v>0</v>
      </c>
      <c r="I424" s="18">
        <v>132064.1500</v>
      </c>
      <c r="J424" s="18">
        <f ca="1">((J423 + H424) - I424)</f>
        <v>0</v>
      </c>
      <c r="K424" s="18">
        <v>0</v>
      </c>
      <c r="L424" s="19">
        <v>0</v>
      </c>
      <c r="M424" s="17" t="s">
        <v>157</v>
      </c>
    </row>
    <row r="425" ht="21.3" customHeight="true" customFormat="true" s="9">
      <c r="A425" s="16">
        <v>45688</v>
      </c>
      <c r="B425" s="17" t="s">
        <v>286</v>
      </c>
      <c r="C425" s="17" t="s">
        <v>152</v>
      </c>
      <c r="D425" s="17" t="s">
        <v>287</v>
      </c>
      <c r="E425" s="17" t="s">
        <v>163</v>
      </c>
      <c r="F425" s="23" t="s">
        <v>290</v>
      </c>
      <c r="G425" s="17" t="s">
        <v>222</v>
      </c>
      <c r="H425" s="18">
        <v>0</v>
      </c>
      <c r="I425" s="18">
        <v>135272.3400</v>
      </c>
      <c r="J425" s="18">
        <f ca="1">((J424 + H425) - I425)</f>
        <v>0</v>
      </c>
      <c r="K425" s="18">
        <v>0</v>
      </c>
      <c r="L425" s="19">
        <v>0</v>
      </c>
      <c r="M425" s="17" t="s">
        <v>157</v>
      </c>
    </row>
    <row r="426" ht="10.95" customHeight="true" customFormat="true" s="9">
      <c r="A426" s="20" t="s">
        <v>291</v>
      </c>
      <c r="B426" s="20"/>
      <c r="C426" s="20"/>
      <c r="D426" s="20"/>
      <c r="E426" s="20"/>
      <c r="F426" s="20"/>
      <c r="G426" s="20"/>
      <c r="H426" s="21">
        <f ca="1">SUM(H423:H425)</f>
        <v>0</v>
      </c>
      <c r="I426" s="21">
        <f ca="1">SUM(I423:I425)</f>
        <v>0</v>
      </c>
      <c r="J426" s="21">
        <f ca="1">J425</f>
        <v>0</v>
      </c>
      <c r="K426" s="21">
        <f ca="1">SUM(K423:K425)</f>
        <v>0</v>
      </c>
      <c r="L426" s="20"/>
      <c r="M426" s="20"/>
    </row>
    <row r="427" ht="10.95" customHeight="true" customFormat="true" s="9">
      <c r="A427" s="20" t="s">
        <v>25</v>
      </c>
      <c r="B427" s="20"/>
      <c r="C427" s="20"/>
      <c r="D427" s="20"/>
      <c r="E427" s="20"/>
      <c r="F427" s="20"/>
      <c r="G427" s="20"/>
      <c r="H427" s="21">
        <v>0</v>
      </c>
      <c r="I427" s="21">
        <v>519458.9600</v>
      </c>
      <c r="J427" s="21">
        <v>0</v>
      </c>
      <c r="K427" s="21">
        <v>0</v>
      </c>
      <c r="L427" s="20"/>
      <c r="M427" s="20"/>
    </row>
    <row r="428" ht="10.95" customHeight="true" customFormat="true" s="9">
      <c r="A428" s="10" t="s">
        <v>26</v>
      </c>
      <c r="B428" s="10"/>
      <c r="C428" s="10"/>
      <c r="D428" s="10"/>
      <c r="E428" s="10"/>
      <c r="F428" s="10"/>
      <c r="G428" s="10"/>
      <c r="H428" s="11">
        <v>0</v>
      </c>
      <c r="I428" s="11">
        <v>519458.9600</v>
      </c>
      <c r="J428" s="11">
        <f ca="1">J425</f>
        <v>0</v>
      </c>
      <c r="K428" s="11">
        <v>0</v>
      </c>
      <c r="L428" s="10"/>
      <c r="M428" s="10"/>
    </row>
    <row r="429" ht="13.35" customHeight="true"/>
    <row r="430" ht="12.1" customHeight="true" customFormat="true" s="5">
      <c r="A430" s="8" t="s">
        <v>292</v>
      </c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</row>
    <row r="431" ht="10.95" customHeight="true" customFormat="true" s="9">
      <c r="A431" s="10" t="s">
        <v>17</v>
      </c>
      <c r="B431" s="10"/>
      <c r="C431" s="10"/>
      <c r="D431" s="10"/>
      <c r="E431" s="10"/>
      <c r="F431" s="10"/>
      <c r="G431" s="10"/>
      <c r="H431" s="11">
        <v>0</v>
      </c>
      <c r="I431" s="11">
        <v>0</v>
      </c>
      <c r="J431" s="11">
        <f ca="1">(H431 - I431)</f>
        <v>0</v>
      </c>
      <c r="K431" s="11">
        <v>0</v>
      </c>
      <c r="L431" s="10"/>
      <c r="M431" s="10"/>
    </row>
    <row r="432" ht="21.3" customHeight="true" customFormat="true" s="9">
      <c r="A432" s="12">
        <v>45443</v>
      </c>
      <c r="B432" s="13" t="s">
        <v>293</v>
      </c>
      <c r="C432" s="13" t="s">
        <v>152</v>
      </c>
      <c r="D432" s="13" t="s">
        <v>294</v>
      </c>
      <c r="E432" s="13" t="s">
        <v>163</v>
      </c>
      <c r="F432" s="22" t="s">
        <v>295</v>
      </c>
      <c r="G432" s="13" t="s">
        <v>107</v>
      </c>
      <c r="H432" s="14">
        <v>0</v>
      </c>
      <c r="I432" s="14">
        <v>199987.1500</v>
      </c>
      <c r="J432" s="14">
        <f ca="1">((J431 + H432) - I432)</f>
        <v>0</v>
      </c>
      <c r="K432" s="14">
        <v>0</v>
      </c>
      <c r="L432" s="15">
        <v>0</v>
      </c>
      <c r="M432" s="13" t="s">
        <v>157</v>
      </c>
    </row>
    <row r="433" ht="10.95" customHeight="true" customFormat="true" s="9">
      <c r="A433" s="16">
        <v>45596</v>
      </c>
      <c r="B433" s="17" t="s">
        <v>293</v>
      </c>
      <c r="C433" s="17" t="s">
        <v>152</v>
      </c>
      <c r="D433" s="17" t="s">
        <v>294</v>
      </c>
      <c r="E433" s="17" t="s">
        <v>163</v>
      </c>
      <c r="F433" s="17" t="s">
        <v>296</v>
      </c>
      <c r="G433" s="17" t="s">
        <v>282</v>
      </c>
      <c r="H433" s="18">
        <v>0</v>
      </c>
      <c r="I433" s="18">
        <v>101601.6500</v>
      </c>
      <c r="J433" s="18">
        <f ca="1">((J432 + H433) - I433)</f>
        <v>0</v>
      </c>
      <c r="K433" s="18">
        <v>0</v>
      </c>
      <c r="L433" s="19">
        <v>0</v>
      </c>
      <c r="M433" s="17" t="s">
        <v>165</v>
      </c>
    </row>
    <row r="434" ht="10.95" customHeight="true" customFormat="true" s="9">
      <c r="A434" s="20" t="s">
        <v>297</v>
      </c>
      <c r="B434" s="20"/>
      <c r="C434" s="20"/>
      <c r="D434" s="20"/>
      <c r="E434" s="20"/>
      <c r="F434" s="20"/>
      <c r="G434" s="20"/>
      <c r="H434" s="21">
        <f ca="1">SUM(H432:H433)</f>
        <v>0</v>
      </c>
      <c r="I434" s="21">
        <f ca="1">SUM(I432:I433)</f>
        <v>0</v>
      </c>
      <c r="J434" s="21">
        <f ca="1">J433</f>
        <v>0</v>
      </c>
      <c r="K434" s="21">
        <f ca="1">SUM(K432:K433)</f>
        <v>0</v>
      </c>
      <c r="L434" s="20"/>
      <c r="M434" s="20"/>
    </row>
    <row r="435" ht="10.95" customHeight="true" customFormat="true" s="9">
      <c r="A435" s="20" t="s">
        <v>25</v>
      </c>
      <c r="B435" s="20"/>
      <c r="C435" s="20"/>
      <c r="D435" s="20"/>
      <c r="E435" s="20"/>
      <c r="F435" s="20"/>
      <c r="G435" s="20"/>
      <c r="H435" s="21">
        <v>0</v>
      </c>
      <c r="I435" s="21">
        <v>301588.8000</v>
      </c>
      <c r="J435" s="21">
        <v>0</v>
      </c>
      <c r="K435" s="21">
        <v>0</v>
      </c>
      <c r="L435" s="20"/>
      <c r="M435" s="20"/>
    </row>
    <row r="436" ht="10.95" customHeight="true" customFormat="true" s="9">
      <c r="A436" s="10" t="s">
        <v>26</v>
      </c>
      <c r="B436" s="10"/>
      <c r="C436" s="10"/>
      <c r="D436" s="10"/>
      <c r="E436" s="10"/>
      <c r="F436" s="10"/>
      <c r="G436" s="10"/>
      <c r="H436" s="11">
        <v>0</v>
      </c>
      <c r="I436" s="11">
        <v>301588.8000</v>
      </c>
      <c r="J436" s="11">
        <f ca="1">J433</f>
        <v>0</v>
      </c>
      <c r="K436" s="11">
        <v>0</v>
      </c>
      <c r="L436" s="10"/>
      <c r="M436" s="10"/>
    </row>
    <row r="437" ht="13.35" customHeight="true"/>
    <row r="438" ht="12.1" customHeight="true" customFormat="true" s="5">
      <c r="A438" s="8" t="s">
        <v>298</v>
      </c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</row>
    <row r="439" ht="10.95" customHeight="true" customFormat="true" s="9">
      <c r="A439" s="10" t="s">
        <v>17</v>
      </c>
      <c r="B439" s="10"/>
      <c r="C439" s="10"/>
      <c r="D439" s="10"/>
      <c r="E439" s="10"/>
      <c r="F439" s="10"/>
      <c r="G439" s="10"/>
      <c r="H439" s="11">
        <v>0</v>
      </c>
      <c r="I439" s="11">
        <v>0</v>
      </c>
      <c r="J439" s="11">
        <f ca="1">(H439 - I439)</f>
        <v>0</v>
      </c>
      <c r="K439" s="11">
        <v>0</v>
      </c>
      <c r="L439" s="10"/>
      <c r="M439" s="10"/>
    </row>
    <row r="440" ht="10.95" customHeight="true" customFormat="true" s="9">
      <c r="A440" s="12">
        <v>45504</v>
      </c>
      <c r="B440" s="13" t="s">
        <v>299</v>
      </c>
      <c r="C440" s="13" t="s">
        <v>152</v>
      </c>
      <c r="D440" s="13" t="s">
        <v>300</v>
      </c>
      <c r="E440" s="13" t="s">
        <v>163</v>
      </c>
      <c r="F440" s="13" t="s">
        <v>301</v>
      </c>
      <c r="G440" s="13" t="s">
        <v>140</v>
      </c>
      <c r="H440" s="14">
        <v>0</v>
      </c>
      <c r="I440" s="14">
        <v>66860.6100</v>
      </c>
      <c r="J440" s="14">
        <f ca="1">((J439 + H440) - I440)</f>
        <v>0</v>
      </c>
      <c r="K440" s="14">
        <v>0</v>
      </c>
      <c r="L440" s="15">
        <v>0</v>
      </c>
      <c r="M440" s="13" t="s">
        <v>165</v>
      </c>
    </row>
    <row r="441" ht="10.95" customHeight="true" customFormat="true" s="9">
      <c r="A441" s="16">
        <v>45565</v>
      </c>
      <c r="B441" s="17" t="s">
        <v>299</v>
      </c>
      <c r="C441" s="17" t="s">
        <v>152</v>
      </c>
      <c r="D441" s="17" t="s">
        <v>300</v>
      </c>
      <c r="E441" s="17" t="s">
        <v>163</v>
      </c>
      <c r="F441" s="17" t="s">
        <v>302</v>
      </c>
      <c r="G441" s="17" t="s">
        <v>148</v>
      </c>
      <c r="H441" s="18">
        <v>0</v>
      </c>
      <c r="I441" s="18">
        <v>24975.5600</v>
      </c>
      <c r="J441" s="18">
        <f ca="1">((J440 + H441) - I441)</f>
        <v>0</v>
      </c>
      <c r="K441" s="18">
        <v>0</v>
      </c>
      <c r="L441" s="19">
        <v>0</v>
      </c>
      <c r="M441" s="17" t="s">
        <v>165</v>
      </c>
    </row>
    <row r="442" ht="10.95" customHeight="true" customFormat="true" s="9">
      <c r="A442" s="20" t="s">
        <v>303</v>
      </c>
      <c r="B442" s="20"/>
      <c r="C442" s="20"/>
      <c r="D442" s="20"/>
      <c r="E442" s="20"/>
      <c r="F442" s="20"/>
      <c r="G442" s="20"/>
      <c r="H442" s="21">
        <f ca="1">SUM(H440:H441)</f>
        <v>0</v>
      </c>
      <c r="I442" s="21">
        <f ca="1">SUM(I440:I441)</f>
        <v>0</v>
      </c>
      <c r="J442" s="21">
        <f ca="1">J441</f>
        <v>0</v>
      </c>
      <c r="K442" s="21">
        <f ca="1">SUM(K440:K441)</f>
        <v>0</v>
      </c>
      <c r="L442" s="20"/>
      <c r="M442" s="20"/>
    </row>
    <row r="443" ht="10.95" customHeight="true" customFormat="true" s="9">
      <c r="A443" s="20" t="s">
        <v>25</v>
      </c>
      <c r="B443" s="20"/>
      <c r="C443" s="20"/>
      <c r="D443" s="20"/>
      <c r="E443" s="20"/>
      <c r="F443" s="20"/>
      <c r="G443" s="20"/>
      <c r="H443" s="21">
        <v>0</v>
      </c>
      <c r="I443" s="21">
        <v>91836.1700</v>
      </c>
      <c r="J443" s="21">
        <v>0</v>
      </c>
      <c r="K443" s="21">
        <v>0</v>
      </c>
      <c r="L443" s="20"/>
      <c r="M443" s="20"/>
    </row>
    <row r="444" ht="10.95" customHeight="true" customFormat="true" s="9">
      <c r="A444" s="10" t="s">
        <v>26</v>
      </c>
      <c r="B444" s="10"/>
      <c r="C444" s="10"/>
      <c r="D444" s="10"/>
      <c r="E444" s="10"/>
      <c r="F444" s="10"/>
      <c r="G444" s="10"/>
      <c r="H444" s="11">
        <v>0</v>
      </c>
      <c r="I444" s="11">
        <v>91836.1700</v>
      </c>
      <c r="J444" s="11">
        <f ca="1">J441</f>
        <v>0</v>
      </c>
      <c r="K444" s="11">
        <v>0</v>
      </c>
      <c r="L444" s="10"/>
      <c r="M444" s="10"/>
    </row>
    <row r="445" ht="13.35" customHeight="true"/>
    <row r="446" ht="12.1" customHeight="true" customFormat="true" s="5">
      <c r="A446" s="8" t="s">
        <v>304</v>
      </c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</row>
    <row r="447" ht="10.95" customHeight="true" customFormat="true" s="9">
      <c r="A447" s="10" t="s">
        <v>17</v>
      </c>
      <c r="B447" s="10"/>
      <c r="C447" s="10"/>
      <c r="D447" s="10"/>
      <c r="E447" s="10"/>
      <c r="F447" s="10"/>
      <c r="G447" s="10"/>
      <c r="H447" s="11">
        <v>0</v>
      </c>
      <c r="I447" s="11">
        <v>0</v>
      </c>
      <c r="J447" s="11">
        <f ca="1">(H447 - I447)</f>
        <v>0</v>
      </c>
      <c r="K447" s="11">
        <v>0</v>
      </c>
      <c r="L447" s="10"/>
      <c r="M447" s="10"/>
    </row>
    <row r="448" ht="10.95" customHeight="true" customFormat="true" s="9">
      <c r="A448" s="12">
        <v>45473</v>
      </c>
      <c r="B448" s="13" t="s">
        <v>305</v>
      </c>
      <c r="C448" s="13" t="s">
        <v>152</v>
      </c>
      <c r="D448" s="13" t="s">
        <v>306</v>
      </c>
      <c r="E448" s="13" t="s">
        <v>163</v>
      </c>
      <c r="F448" s="13" t="s">
        <v>307</v>
      </c>
      <c r="G448" s="13" t="s">
        <v>126</v>
      </c>
      <c r="H448" s="14">
        <v>0</v>
      </c>
      <c r="I448" s="14">
        <v>170922.7800</v>
      </c>
      <c r="J448" s="14">
        <f ca="1">((J447 + H448) - I448)</f>
        <v>0</v>
      </c>
      <c r="K448" s="14">
        <v>0</v>
      </c>
      <c r="L448" s="15">
        <v>0</v>
      </c>
      <c r="M448" s="13" t="s">
        <v>157</v>
      </c>
    </row>
    <row r="449" ht="10.95" customHeight="true" customFormat="true" s="9">
      <c r="A449" s="16">
        <v>45626</v>
      </c>
      <c r="B449" s="17" t="s">
        <v>305</v>
      </c>
      <c r="C449" s="17" t="s">
        <v>152</v>
      </c>
      <c r="D449" s="17" t="s">
        <v>306</v>
      </c>
      <c r="E449" s="17" t="s">
        <v>163</v>
      </c>
      <c r="F449" s="17" t="s">
        <v>308</v>
      </c>
      <c r="G449" s="17" t="s">
        <v>274</v>
      </c>
      <c r="H449" s="18">
        <v>0</v>
      </c>
      <c r="I449" s="18">
        <v>145321.2900</v>
      </c>
      <c r="J449" s="18">
        <f ca="1">((J448 + H449) - I449)</f>
        <v>0</v>
      </c>
      <c r="K449" s="18">
        <v>0</v>
      </c>
      <c r="L449" s="19">
        <v>0</v>
      </c>
      <c r="M449" s="17" t="s">
        <v>165</v>
      </c>
    </row>
    <row r="450" ht="10.95" customHeight="true" customFormat="true" s="9">
      <c r="A450" s="20" t="s">
        <v>309</v>
      </c>
      <c r="B450" s="20"/>
      <c r="C450" s="20"/>
      <c r="D450" s="20"/>
      <c r="E450" s="20"/>
      <c r="F450" s="20"/>
      <c r="G450" s="20"/>
      <c r="H450" s="21">
        <f ca="1">SUM(H448:H449)</f>
        <v>0</v>
      </c>
      <c r="I450" s="21">
        <f ca="1">SUM(I448:I449)</f>
        <v>0</v>
      </c>
      <c r="J450" s="21">
        <f ca="1">J449</f>
        <v>0</v>
      </c>
      <c r="K450" s="21">
        <f ca="1">SUM(K448:K449)</f>
        <v>0</v>
      </c>
      <c r="L450" s="20"/>
      <c r="M450" s="20"/>
    </row>
    <row r="451" ht="10.95" customHeight="true" customFormat="true" s="9">
      <c r="A451" s="20" t="s">
        <v>25</v>
      </c>
      <c r="B451" s="20"/>
      <c r="C451" s="20"/>
      <c r="D451" s="20"/>
      <c r="E451" s="20"/>
      <c r="F451" s="20"/>
      <c r="G451" s="20"/>
      <c r="H451" s="21">
        <v>0</v>
      </c>
      <c r="I451" s="21">
        <v>316244.0700</v>
      </c>
      <c r="J451" s="21">
        <v>0</v>
      </c>
      <c r="K451" s="21">
        <v>0</v>
      </c>
      <c r="L451" s="20"/>
      <c r="M451" s="20"/>
    </row>
    <row r="452" ht="10.95" customHeight="true" customFormat="true" s="9">
      <c r="A452" s="10" t="s">
        <v>26</v>
      </c>
      <c r="B452" s="10"/>
      <c r="C452" s="10"/>
      <c r="D452" s="10"/>
      <c r="E452" s="10"/>
      <c r="F452" s="10"/>
      <c r="G452" s="10"/>
      <c r="H452" s="11">
        <v>0</v>
      </c>
      <c r="I452" s="11">
        <v>316244.0700</v>
      </c>
      <c r="J452" s="11">
        <f ca="1">J449</f>
        <v>0</v>
      </c>
      <c r="K452" s="11">
        <v>0</v>
      </c>
      <c r="L452" s="10"/>
      <c r="M452" s="10"/>
    </row>
    <row r="453" ht="13.35" customHeight="true"/>
    <row r="454" ht="12.1" customHeight="true" customFormat="true" s="5">
      <c r="A454" s="8" t="s">
        <v>310</v>
      </c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</row>
    <row r="455" ht="10.95" customHeight="true" customFormat="true" s="9">
      <c r="A455" s="10" t="s">
        <v>17</v>
      </c>
      <c r="B455" s="10"/>
      <c r="C455" s="10"/>
      <c r="D455" s="10"/>
      <c r="E455" s="10"/>
      <c r="F455" s="10"/>
      <c r="G455" s="10"/>
      <c r="H455" s="11">
        <v>0</v>
      </c>
      <c r="I455" s="11">
        <v>0</v>
      </c>
      <c r="J455" s="11">
        <f ca="1">(H455 - I455)</f>
        <v>0</v>
      </c>
      <c r="K455" s="11">
        <v>0</v>
      </c>
      <c r="L455" s="10"/>
      <c r="M455" s="10"/>
    </row>
    <row r="456" ht="10.95" customHeight="true" customFormat="true" s="9">
      <c r="A456" s="12">
        <v>45535</v>
      </c>
      <c r="B456" s="13" t="s">
        <v>311</v>
      </c>
      <c r="C456" s="13" t="s">
        <v>152</v>
      </c>
      <c r="D456" s="13" t="s">
        <v>312</v>
      </c>
      <c r="E456" s="13" t="s">
        <v>163</v>
      </c>
      <c r="F456" s="13" t="s">
        <v>313</v>
      </c>
      <c r="G456" s="13" t="s">
        <v>142</v>
      </c>
      <c r="H456" s="14">
        <v>0</v>
      </c>
      <c r="I456" s="14">
        <v>129054.9600</v>
      </c>
      <c r="J456" s="14">
        <f ca="1">((J455 + H456) - I456)</f>
        <v>0</v>
      </c>
      <c r="K456" s="14">
        <v>0</v>
      </c>
      <c r="L456" s="15">
        <v>0</v>
      </c>
      <c r="M456" s="13" t="s">
        <v>157</v>
      </c>
    </row>
    <row r="457" ht="10.95" customHeight="true" customFormat="true" s="9">
      <c r="A457" s="20" t="s">
        <v>314</v>
      </c>
      <c r="B457" s="20"/>
      <c r="C457" s="20"/>
      <c r="D457" s="20"/>
      <c r="E457" s="20"/>
      <c r="F457" s="20"/>
      <c r="G457" s="20"/>
      <c r="H457" s="21">
        <f ca="1">H456</f>
        <v>0</v>
      </c>
      <c r="I457" s="21">
        <f ca="1">I456</f>
        <v>0</v>
      </c>
      <c r="J457" s="21">
        <f ca="1">J456</f>
        <v>0</v>
      </c>
      <c r="K457" s="21">
        <f ca="1">K456</f>
        <v>0</v>
      </c>
      <c r="L457" s="20"/>
      <c r="M457" s="20"/>
    </row>
    <row r="458" ht="10.95" customHeight="true" customFormat="true" s="9">
      <c r="A458" s="20" t="s">
        <v>25</v>
      </c>
      <c r="B458" s="20"/>
      <c r="C458" s="20"/>
      <c r="D458" s="20"/>
      <c r="E458" s="20"/>
      <c r="F458" s="20"/>
      <c r="G458" s="20"/>
      <c r="H458" s="21">
        <v>0</v>
      </c>
      <c r="I458" s="21">
        <v>129054.9600</v>
      </c>
      <c r="J458" s="21">
        <v>0</v>
      </c>
      <c r="K458" s="21">
        <v>0</v>
      </c>
      <c r="L458" s="20"/>
      <c r="M458" s="20"/>
    </row>
    <row r="459" ht="10.95" customHeight="true" customFormat="true" s="9">
      <c r="A459" s="10" t="s">
        <v>26</v>
      </c>
      <c r="B459" s="10"/>
      <c r="C459" s="10"/>
      <c r="D459" s="10"/>
      <c r="E459" s="10"/>
      <c r="F459" s="10"/>
      <c r="G459" s="10"/>
      <c r="H459" s="11">
        <v>0</v>
      </c>
      <c r="I459" s="11">
        <v>129054.9600</v>
      </c>
      <c r="J459" s="11">
        <f ca="1">J456</f>
        <v>0</v>
      </c>
      <c r="K459" s="11">
        <v>0</v>
      </c>
      <c r="L459" s="10"/>
      <c r="M459" s="10"/>
    </row>
    <row r="460" ht="13.35" customHeight="true"/>
    <row r="461" ht="12.1" customHeight="true" customFormat="true" s="5">
      <c r="A461" s="8" t="s">
        <v>315</v>
      </c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</row>
    <row r="462" ht="10.95" customHeight="true" customFormat="true" s="9">
      <c r="A462" s="10" t="s">
        <v>17</v>
      </c>
      <c r="B462" s="10"/>
      <c r="C462" s="10"/>
      <c r="D462" s="10"/>
      <c r="E462" s="10"/>
      <c r="F462" s="10"/>
      <c r="G462" s="10"/>
      <c r="H462" s="11">
        <v>0</v>
      </c>
      <c r="I462" s="11">
        <v>0</v>
      </c>
      <c r="J462" s="11">
        <f ca="1">(H462 - I462)</f>
        <v>0</v>
      </c>
      <c r="K462" s="11">
        <v>0</v>
      </c>
      <c r="L462" s="10"/>
      <c r="M462" s="10"/>
    </row>
    <row r="463" ht="10.95" customHeight="true" customFormat="true" s="9">
      <c r="A463" s="12">
        <v>45535</v>
      </c>
      <c r="B463" s="13" t="s">
        <v>316</v>
      </c>
      <c r="C463" s="13" t="s">
        <v>152</v>
      </c>
      <c r="D463" s="13" t="s">
        <v>317</v>
      </c>
      <c r="E463" s="13" t="s">
        <v>163</v>
      </c>
      <c r="F463" s="13" t="s">
        <v>318</v>
      </c>
      <c r="G463" s="13" t="s">
        <v>143</v>
      </c>
      <c r="H463" s="14">
        <v>0</v>
      </c>
      <c r="I463" s="14">
        <v>288.9900</v>
      </c>
      <c r="J463" s="14">
        <f ca="1">((J462 + H463) - I463)</f>
        <v>0</v>
      </c>
      <c r="K463" s="14">
        <v>0</v>
      </c>
      <c r="L463" s="15">
        <v>0</v>
      </c>
      <c r="M463" s="13" t="s">
        <v>165</v>
      </c>
    </row>
    <row r="464" ht="10.95" customHeight="true" customFormat="true" s="9">
      <c r="A464" s="16">
        <v>45535</v>
      </c>
      <c r="B464" s="17" t="s">
        <v>316</v>
      </c>
      <c r="C464" s="17" t="s">
        <v>152</v>
      </c>
      <c r="D464" s="17" t="s">
        <v>317</v>
      </c>
      <c r="E464" s="17" t="s">
        <v>163</v>
      </c>
      <c r="F464" s="17" t="s">
        <v>319</v>
      </c>
      <c r="G464" s="17" t="s">
        <v>144</v>
      </c>
      <c r="H464" s="18">
        <v>0</v>
      </c>
      <c r="I464" s="18">
        <v>215.0900</v>
      </c>
      <c r="J464" s="18">
        <f ca="1">((J463 + H464) - I464)</f>
        <v>0</v>
      </c>
      <c r="K464" s="18">
        <v>0</v>
      </c>
      <c r="L464" s="19">
        <v>0</v>
      </c>
      <c r="M464" s="17" t="s">
        <v>165</v>
      </c>
    </row>
    <row r="465" ht="10.95" customHeight="true" customFormat="true" s="9">
      <c r="A465" s="16">
        <v>45535</v>
      </c>
      <c r="B465" s="17" t="s">
        <v>316</v>
      </c>
      <c r="C465" s="17" t="s">
        <v>152</v>
      </c>
      <c r="D465" s="17" t="s">
        <v>317</v>
      </c>
      <c r="E465" s="17" t="s">
        <v>163</v>
      </c>
      <c r="F465" s="17" t="s">
        <v>320</v>
      </c>
      <c r="G465" s="17" t="s">
        <v>144</v>
      </c>
      <c r="H465" s="18">
        <v>0</v>
      </c>
      <c r="I465" s="18">
        <v>164.8200</v>
      </c>
      <c r="J465" s="18">
        <f ca="1">((J464 + H465) - I465)</f>
        <v>0</v>
      </c>
      <c r="K465" s="18">
        <v>0</v>
      </c>
      <c r="L465" s="19">
        <v>0</v>
      </c>
      <c r="M465" s="17" t="s">
        <v>165</v>
      </c>
    </row>
    <row r="466" ht="10.95" customHeight="true" customFormat="true" s="9">
      <c r="A466" s="16">
        <v>45535</v>
      </c>
      <c r="B466" s="17" t="s">
        <v>316</v>
      </c>
      <c r="C466" s="17" t="s">
        <v>152</v>
      </c>
      <c r="D466" s="17" t="s">
        <v>317</v>
      </c>
      <c r="E466" s="17" t="s">
        <v>163</v>
      </c>
      <c r="F466" s="17" t="s">
        <v>321</v>
      </c>
      <c r="G466" s="17" t="s">
        <v>144</v>
      </c>
      <c r="H466" s="18">
        <v>0</v>
      </c>
      <c r="I466" s="18">
        <v>164.8200</v>
      </c>
      <c r="J466" s="18">
        <f ca="1">((J465 + H466) - I466)</f>
        <v>0</v>
      </c>
      <c r="K466" s="18">
        <v>0</v>
      </c>
      <c r="L466" s="19">
        <v>0</v>
      </c>
      <c r="M466" s="17" t="s">
        <v>165</v>
      </c>
    </row>
    <row r="467" ht="10.95" customHeight="true" customFormat="true" s="9">
      <c r="A467" s="16">
        <v>45535</v>
      </c>
      <c r="B467" s="17" t="s">
        <v>316</v>
      </c>
      <c r="C467" s="17" t="s">
        <v>152</v>
      </c>
      <c r="D467" s="17" t="s">
        <v>317</v>
      </c>
      <c r="E467" s="17" t="s">
        <v>163</v>
      </c>
      <c r="F467" s="17" t="s">
        <v>322</v>
      </c>
      <c r="G467" s="17" t="s">
        <v>144</v>
      </c>
      <c r="H467" s="18">
        <v>0</v>
      </c>
      <c r="I467" s="18">
        <v>494.4600</v>
      </c>
      <c r="J467" s="18">
        <f ca="1">((J466 + H467) - I467)</f>
        <v>0</v>
      </c>
      <c r="K467" s="18">
        <v>0</v>
      </c>
      <c r="L467" s="19">
        <v>0</v>
      </c>
      <c r="M467" s="17" t="s">
        <v>165</v>
      </c>
    </row>
    <row r="468" ht="10.95" customHeight="true" customFormat="true" s="9">
      <c r="A468" s="16">
        <v>45535</v>
      </c>
      <c r="B468" s="17" t="s">
        <v>316</v>
      </c>
      <c r="C468" s="17" t="s">
        <v>152</v>
      </c>
      <c r="D468" s="17" t="s">
        <v>317</v>
      </c>
      <c r="E468" s="17" t="s">
        <v>163</v>
      </c>
      <c r="F468" s="17" t="s">
        <v>323</v>
      </c>
      <c r="G468" s="17" t="s">
        <v>144</v>
      </c>
      <c r="H468" s="18">
        <v>0</v>
      </c>
      <c r="I468" s="18">
        <v>598.6800</v>
      </c>
      <c r="J468" s="18">
        <f ca="1">((J467 + H468) - I468)</f>
        <v>0</v>
      </c>
      <c r="K468" s="18">
        <v>0</v>
      </c>
      <c r="L468" s="19">
        <v>0</v>
      </c>
      <c r="M468" s="17" t="s">
        <v>165</v>
      </c>
    </row>
    <row r="469" ht="10.95" customHeight="true" customFormat="true" s="9">
      <c r="A469" s="16">
        <v>45535</v>
      </c>
      <c r="B469" s="17" t="s">
        <v>316</v>
      </c>
      <c r="C469" s="17" t="s">
        <v>152</v>
      </c>
      <c r="D469" s="17" t="s">
        <v>317</v>
      </c>
      <c r="E469" s="17" t="s">
        <v>163</v>
      </c>
      <c r="F469" s="17" t="s">
        <v>324</v>
      </c>
      <c r="G469" s="17" t="s">
        <v>144</v>
      </c>
      <c r="H469" s="18">
        <v>0</v>
      </c>
      <c r="I469" s="18">
        <v>307.4700</v>
      </c>
      <c r="J469" s="18">
        <f ca="1">((J468 + H469) - I469)</f>
        <v>0</v>
      </c>
      <c r="K469" s="18">
        <v>0</v>
      </c>
      <c r="L469" s="19">
        <v>0</v>
      </c>
      <c r="M469" s="17" t="s">
        <v>165</v>
      </c>
    </row>
    <row r="470" ht="10.95" customHeight="true" customFormat="true" s="9">
      <c r="A470" s="20" t="s">
        <v>325</v>
      </c>
      <c r="B470" s="20"/>
      <c r="C470" s="20"/>
      <c r="D470" s="20"/>
      <c r="E470" s="20"/>
      <c r="F470" s="20"/>
      <c r="G470" s="20"/>
      <c r="H470" s="21">
        <f ca="1">SUM(H463:H469)</f>
        <v>0</v>
      </c>
      <c r="I470" s="21">
        <f ca="1">SUM(I463:I469)</f>
        <v>0</v>
      </c>
      <c r="J470" s="21">
        <f ca="1">J469</f>
        <v>0</v>
      </c>
      <c r="K470" s="21">
        <f ca="1">SUM(K463:K469)</f>
        <v>0</v>
      </c>
      <c r="L470" s="20"/>
      <c r="M470" s="20"/>
    </row>
    <row r="471" ht="10.95" customHeight="true" customFormat="true" s="9">
      <c r="A471" s="20" t="s">
        <v>25</v>
      </c>
      <c r="B471" s="20"/>
      <c r="C471" s="20"/>
      <c r="D471" s="20"/>
      <c r="E471" s="20"/>
      <c r="F471" s="20"/>
      <c r="G471" s="20"/>
      <c r="H471" s="21">
        <v>0</v>
      </c>
      <c r="I471" s="21">
        <v>2234.3300</v>
      </c>
      <c r="J471" s="21">
        <v>0</v>
      </c>
      <c r="K471" s="21">
        <v>0</v>
      </c>
      <c r="L471" s="20"/>
      <c r="M471" s="20"/>
    </row>
    <row r="472" ht="10.95" customHeight="true" customFormat="true" s="9">
      <c r="A472" s="10" t="s">
        <v>26</v>
      </c>
      <c r="B472" s="10"/>
      <c r="C472" s="10"/>
      <c r="D472" s="10"/>
      <c r="E472" s="10"/>
      <c r="F472" s="10"/>
      <c r="G472" s="10"/>
      <c r="H472" s="11">
        <v>0</v>
      </c>
      <c r="I472" s="11">
        <v>2234.3300</v>
      </c>
      <c r="J472" s="11">
        <f ca="1">J469</f>
        <v>0</v>
      </c>
      <c r="K472" s="11">
        <v>0</v>
      </c>
      <c r="L472" s="10"/>
      <c r="M472" s="10"/>
    </row>
    <row r="473" ht="13.35" customHeight="true"/>
    <row r="474" ht="12.1" customHeight="true" customFormat="true" s="5">
      <c r="A474" s="8" t="s">
        <v>326</v>
      </c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</row>
    <row r="475" ht="10.95" customHeight="true" customFormat="true" s="9">
      <c r="A475" s="10" t="s">
        <v>17</v>
      </c>
      <c r="B475" s="10"/>
      <c r="C475" s="10"/>
      <c r="D475" s="10"/>
      <c r="E475" s="10"/>
      <c r="F475" s="10"/>
      <c r="G475" s="10"/>
      <c r="H475" s="11">
        <v>0</v>
      </c>
      <c r="I475" s="11">
        <v>0</v>
      </c>
      <c r="J475" s="11">
        <f ca="1">(H475 - I475)</f>
        <v>0</v>
      </c>
      <c r="K475" s="11">
        <v>0</v>
      </c>
      <c r="L475" s="10"/>
      <c r="M475" s="10"/>
    </row>
    <row r="476" ht="10.95" customHeight="true" customFormat="true" s="9">
      <c r="A476" s="12">
        <v>45412</v>
      </c>
      <c r="B476" s="13" t="s">
        <v>327</v>
      </c>
      <c r="C476" s="13" t="s">
        <v>161</v>
      </c>
      <c r="D476" s="13" t="s">
        <v>328</v>
      </c>
      <c r="E476" s="13" t="s">
        <v>154</v>
      </c>
      <c r="F476" s="13" t="s">
        <v>179</v>
      </c>
      <c r="G476" s="13" t="s">
        <v>180</v>
      </c>
      <c r="H476" s="14">
        <v>0</v>
      </c>
      <c r="I476" s="14">
        <v>46160.7300</v>
      </c>
      <c r="J476" s="14">
        <f ca="1">((J475 + H476) - I476)</f>
        <v>0</v>
      </c>
      <c r="K476" s="14">
        <v>0</v>
      </c>
      <c r="L476" s="15">
        <v>0</v>
      </c>
      <c r="M476" s="13" t="s">
        <v>157</v>
      </c>
    </row>
    <row r="477" ht="10.95" customHeight="true" customFormat="true" s="9">
      <c r="A477" s="16">
        <v>45443</v>
      </c>
      <c r="B477" s="17" t="s">
        <v>327</v>
      </c>
      <c r="C477" s="17" t="s">
        <v>161</v>
      </c>
      <c r="D477" s="17" t="s">
        <v>328</v>
      </c>
      <c r="E477" s="17" t="s">
        <v>154</v>
      </c>
      <c r="F477" s="17" t="s">
        <v>181</v>
      </c>
      <c r="G477" s="17" t="s">
        <v>182</v>
      </c>
      <c r="H477" s="18">
        <v>0</v>
      </c>
      <c r="I477" s="18">
        <v>44999.3700</v>
      </c>
      <c r="J477" s="18">
        <f ca="1">((J476 + H477) - I477)</f>
        <v>0</v>
      </c>
      <c r="K477" s="18">
        <v>0</v>
      </c>
      <c r="L477" s="19">
        <v>0</v>
      </c>
      <c r="M477" s="17" t="s">
        <v>157</v>
      </c>
    </row>
    <row r="478" ht="10.95" customHeight="true" customFormat="true" s="9">
      <c r="A478" s="16">
        <v>45473</v>
      </c>
      <c r="B478" s="17" t="s">
        <v>327</v>
      </c>
      <c r="C478" s="17" t="s">
        <v>161</v>
      </c>
      <c r="D478" s="17" t="s">
        <v>328</v>
      </c>
      <c r="E478" s="17" t="s">
        <v>154</v>
      </c>
      <c r="F478" s="17" t="s">
        <v>183</v>
      </c>
      <c r="G478" s="17" t="s">
        <v>184</v>
      </c>
      <c r="H478" s="18">
        <v>0</v>
      </c>
      <c r="I478" s="18">
        <v>45160.3200</v>
      </c>
      <c r="J478" s="18">
        <f ca="1">((J477 + H478) - I478)</f>
        <v>0</v>
      </c>
      <c r="K478" s="18">
        <v>0</v>
      </c>
      <c r="L478" s="19">
        <v>0</v>
      </c>
      <c r="M478" s="17" t="s">
        <v>157</v>
      </c>
    </row>
    <row r="479" ht="10.95" customHeight="true" customFormat="true" s="9">
      <c r="A479" s="16">
        <v>45504</v>
      </c>
      <c r="B479" s="17" t="s">
        <v>327</v>
      </c>
      <c r="C479" s="17" t="s">
        <v>161</v>
      </c>
      <c r="D479" s="17" t="s">
        <v>328</v>
      </c>
      <c r="E479" s="17" t="s">
        <v>154</v>
      </c>
      <c r="F479" s="17" t="s">
        <v>181</v>
      </c>
      <c r="G479" s="17" t="s">
        <v>185</v>
      </c>
      <c r="H479" s="18">
        <v>0</v>
      </c>
      <c r="I479" s="18">
        <v>45977.7200</v>
      </c>
      <c r="J479" s="18">
        <f ca="1">((J478 + H479) - I479)</f>
        <v>0</v>
      </c>
      <c r="K479" s="18">
        <v>0</v>
      </c>
      <c r="L479" s="19">
        <v>0</v>
      </c>
      <c r="M479" s="17" t="s">
        <v>157</v>
      </c>
    </row>
    <row r="480" ht="10.95" customHeight="true" customFormat="true" s="9">
      <c r="A480" s="16">
        <v>45535</v>
      </c>
      <c r="B480" s="17" t="s">
        <v>327</v>
      </c>
      <c r="C480" s="17" t="s">
        <v>161</v>
      </c>
      <c r="D480" s="17" t="s">
        <v>328</v>
      </c>
      <c r="E480" s="17" t="s">
        <v>154</v>
      </c>
      <c r="F480" s="17" t="s">
        <v>186</v>
      </c>
      <c r="G480" s="17" t="s">
        <v>187</v>
      </c>
      <c r="H480" s="18">
        <v>0</v>
      </c>
      <c r="I480" s="18">
        <v>44346.6200</v>
      </c>
      <c r="J480" s="18">
        <f ca="1">((J479 + H480) - I480)</f>
        <v>0</v>
      </c>
      <c r="K480" s="18">
        <v>0</v>
      </c>
      <c r="L480" s="19">
        <v>0</v>
      </c>
      <c r="M480" s="17" t="s">
        <v>157</v>
      </c>
    </row>
    <row r="481" ht="10.95" customHeight="true" customFormat="true" s="9">
      <c r="A481" s="16">
        <v>45565</v>
      </c>
      <c r="B481" s="17" t="s">
        <v>327</v>
      </c>
      <c r="C481" s="17" t="s">
        <v>161</v>
      </c>
      <c r="D481" s="17" t="s">
        <v>328</v>
      </c>
      <c r="E481" s="17" t="s">
        <v>154</v>
      </c>
      <c r="F481" s="17" t="s">
        <v>186</v>
      </c>
      <c r="G481" s="17" t="s">
        <v>188</v>
      </c>
      <c r="H481" s="18">
        <v>0</v>
      </c>
      <c r="I481" s="18">
        <v>43299.9200</v>
      </c>
      <c r="J481" s="18">
        <f ca="1">((J480 + H481) - I481)</f>
        <v>0</v>
      </c>
      <c r="K481" s="18">
        <v>0</v>
      </c>
      <c r="L481" s="19">
        <v>0</v>
      </c>
      <c r="M481" s="17" t="s">
        <v>157</v>
      </c>
    </row>
    <row r="482" ht="10.95" customHeight="true" customFormat="true" s="9">
      <c r="A482" s="16">
        <v>45596</v>
      </c>
      <c r="B482" s="17" t="s">
        <v>327</v>
      </c>
      <c r="C482" s="17" t="s">
        <v>161</v>
      </c>
      <c r="D482" s="17" t="s">
        <v>328</v>
      </c>
      <c r="E482" s="17" t="s">
        <v>154</v>
      </c>
      <c r="F482" s="17" t="s">
        <v>186</v>
      </c>
      <c r="G482" s="17" t="s">
        <v>189</v>
      </c>
      <c r="H482" s="18">
        <v>0</v>
      </c>
      <c r="I482" s="18">
        <v>45654.6000</v>
      </c>
      <c r="J482" s="18">
        <f ca="1">((J481 + H482) - I482)</f>
        <v>0</v>
      </c>
      <c r="K482" s="18">
        <v>0</v>
      </c>
      <c r="L482" s="19">
        <v>0</v>
      </c>
      <c r="M482" s="17" t="s">
        <v>157</v>
      </c>
    </row>
    <row r="483" ht="10.95" customHeight="true" customFormat="true" s="9">
      <c r="A483" s="16">
        <v>45626</v>
      </c>
      <c r="B483" s="17" t="s">
        <v>327</v>
      </c>
      <c r="C483" s="17" t="s">
        <v>161</v>
      </c>
      <c r="D483" s="17" t="s">
        <v>328</v>
      </c>
      <c r="E483" s="17" t="s">
        <v>154</v>
      </c>
      <c r="F483" s="17" t="s">
        <v>186</v>
      </c>
      <c r="G483" s="17" t="s">
        <v>190</v>
      </c>
      <c r="H483" s="18">
        <v>0</v>
      </c>
      <c r="I483" s="18">
        <v>46075.2300</v>
      </c>
      <c r="J483" s="18">
        <f ca="1">((J482 + H483) - I483)</f>
        <v>0</v>
      </c>
      <c r="K483" s="18">
        <v>0</v>
      </c>
      <c r="L483" s="19">
        <v>0</v>
      </c>
      <c r="M483" s="17" t="s">
        <v>157</v>
      </c>
    </row>
    <row r="484" ht="10.95" customHeight="true" customFormat="true" s="9">
      <c r="A484" s="16">
        <v>45657</v>
      </c>
      <c r="B484" s="17" t="s">
        <v>327</v>
      </c>
      <c r="C484" s="17" t="s">
        <v>161</v>
      </c>
      <c r="D484" s="17" t="s">
        <v>328</v>
      </c>
      <c r="E484" s="17" t="s">
        <v>154</v>
      </c>
      <c r="F484" s="17" t="s">
        <v>186</v>
      </c>
      <c r="G484" s="17" t="s">
        <v>191</v>
      </c>
      <c r="H484" s="18">
        <v>0</v>
      </c>
      <c r="I484" s="18">
        <v>48301.1700</v>
      </c>
      <c r="J484" s="18">
        <f ca="1">((J483 + H484) - I484)</f>
        <v>0</v>
      </c>
      <c r="K484" s="18">
        <v>0</v>
      </c>
      <c r="L484" s="19">
        <v>0</v>
      </c>
      <c r="M484" s="17" t="s">
        <v>157</v>
      </c>
    </row>
    <row r="485" ht="10.95" customHeight="true" customFormat="true" s="9">
      <c r="A485" s="16">
        <v>45688</v>
      </c>
      <c r="B485" s="17" t="s">
        <v>327</v>
      </c>
      <c r="C485" s="17" t="s">
        <v>161</v>
      </c>
      <c r="D485" s="17" t="s">
        <v>328</v>
      </c>
      <c r="E485" s="17" t="s">
        <v>154</v>
      </c>
      <c r="F485" s="17" t="s">
        <v>186</v>
      </c>
      <c r="G485" s="17" t="s">
        <v>192</v>
      </c>
      <c r="H485" s="18">
        <v>0</v>
      </c>
      <c r="I485" s="18">
        <v>48287.4100</v>
      </c>
      <c r="J485" s="18">
        <f ca="1">((J484 + H485) - I485)</f>
        <v>0</v>
      </c>
      <c r="K485" s="18">
        <v>0</v>
      </c>
      <c r="L485" s="19">
        <v>0</v>
      </c>
      <c r="M485" s="17" t="s">
        <v>157</v>
      </c>
    </row>
    <row r="486" ht="10.95" customHeight="true" customFormat="true" s="9">
      <c r="A486" s="16">
        <v>45716</v>
      </c>
      <c r="B486" s="17" t="s">
        <v>327</v>
      </c>
      <c r="C486" s="17" t="s">
        <v>161</v>
      </c>
      <c r="D486" s="17" t="s">
        <v>328</v>
      </c>
      <c r="E486" s="17" t="s">
        <v>154</v>
      </c>
      <c r="F486" s="17" t="s">
        <v>186</v>
      </c>
      <c r="G486" s="17" t="s">
        <v>193</v>
      </c>
      <c r="H486" s="18">
        <v>0</v>
      </c>
      <c r="I486" s="18">
        <v>48246.6400</v>
      </c>
      <c r="J486" s="18">
        <f ca="1">((J485 + H486) - I486)</f>
        <v>0</v>
      </c>
      <c r="K486" s="18">
        <v>0</v>
      </c>
      <c r="L486" s="19">
        <v>0</v>
      </c>
      <c r="M486" s="17" t="s">
        <v>157</v>
      </c>
    </row>
    <row r="487" ht="10.95" customHeight="true" customFormat="true" s="9">
      <c r="A487" s="16">
        <v>45747</v>
      </c>
      <c r="B487" s="17" t="s">
        <v>327</v>
      </c>
      <c r="C487" s="17" t="s">
        <v>161</v>
      </c>
      <c r="D487" s="17" t="s">
        <v>328</v>
      </c>
      <c r="E487" s="17" t="s">
        <v>154</v>
      </c>
      <c r="F487" s="17" t="s">
        <v>186</v>
      </c>
      <c r="G487" s="17" t="s">
        <v>196</v>
      </c>
      <c r="H487" s="18">
        <v>0</v>
      </c>
      <c r="I487" s="18">
        <v>48000.0000</v>
      </c>
      <c r="J487" s="18">
        <f ca="1">((J486 + H487) - I487)</f>
        <v>0</v>
      </c>
      <c r="K487" s="18">
        <v>0</v>
      </c>
      <c r="L487" s="19">
        <v>0</v>
      </c>
      <c r="M487" s="17" t="s">
        <v>157</v>
      </c>
    </row>
    <row r="488" ht="10.95" customHeight="true" customFormat="true" s="9">
      <c r="A488" s="20" t="s">
        <v>329</v>
      </c>
      <c r="B488" s="20"/>
      <c r="C488" s="20"/>
      <c r="D488" s="20"/>
      <c r="E488" s="20"/>
      <c r="F488" s="20"/>
      <c r="G488" s="20"/>
      <c r="H488" s="21">
        <f ca="1">SUM(H476:H487)</f>
        <v>0</v>
      </c>
      <c r="I488" s="21">
        <f ca="1">SUM(I476:I487)</f>
        <v>0</v>
      </c>
      <c r="J488" s="21">
        <f ca="1">J487</f>
        <v>0</v>
      </c>
      <c r="K488" s="21">
        <f ca="1">SUM(K476:K487)</f>
        <v>0</v>
      </c>
      <c r="L488" s="20"/>
      <c r="M488" s="20"/>
    </row>
    <row r="489" ht="10.95" customHeight="true" customFormat="true" s="9">
      <c r="A489" s="20" t="s">
        <v>25</v>
      </c>
      <c r="B489" s="20"/>
      <c r="C489" s="20"/>
      <c r="D489" s="20"/>
      <c r="E489" s="20"/>
      <c r="F489" s="20"/>
      <c r="G489" s="20"/>
      <c r="H489" s="21">
        <v>0</v>
      </c>
      <c r="I489" s="21">
        <v>554509.7300</v>
      </c>
      <c r="J489" s="21">
        <v>0</v>
      </c>
      <c r="K489" s="21">
        <v>0</v>
      </c>
      <c r="L489" s="20"/>
      <c r="M489" s="20"/>
    </row>
    <row r="490" ht="10.95" customHeight="true" customFormat="true" s="9">
      <c r="A490" s="10" t="s">
        <v>26</v>
      </c>
      <c r="B490" s="10"/>
      <c r="C490" s="10"/>
      <c r="D490" s="10"/>
      <c r="E490" s="10"/>
      <c r="F490" s="10"/>
      <c r="G490" s="10"/>
      <c r="H490" s="11">
        <v>0</v>
      </c>
      <c r="I490" s="11">
        <v>554509.7300</v>
      </c>
      <c r="J490" s="11">
        <f ca="1">J487</f>
        <v>0</v>
      </c>
      <c r="K490" s="11">
        <v>0</v>
      </c>
      <c r="L490" s="10"/>
      <c r="M490" s="10"/>
    </row>
    <row r="491" ht="13.35" customHeight="true"/>
    <row r="492" ht="12.1" customHeight="true" customFormat="true" s="5">
      <c r="A492" s="8" t="s">
        <v>330</v>
      </c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</row>
    <row r="493" ht="10.95" customHeight="true" customFormat="true" s="9">
      <c r="A493" s="10" t="s">
        <v>17</v>
      </c>
      <c r="B493" s="10"/>
      <c r="C493" s="10"/>
      <c r="D493" s="10"/>
      <c r="E493" s="10"/>
      <c r="F493" s="10"/>
      <c r="G493" s="10"/>
      <c r="H493" s="11">
        <v>0</v>
      </c>
      <c r="I493" s="11">
        <v>0</v>
      </c>
      <c r="J493" s="11">
        <f ca="1">(H493 - I493)</f>
        <v>0</v>
      </c>
      <c r="K493" s="11">
        <v>0</v>
      </c>
      <c r="L493" s="10"/>
      <c r="M493" s="10"/>
    </row>
    <row r="494" ht="10.95" customHeight="true" customFormat="true" s="9">
      <c r="A494" s="12">
        <v>45747</v>
      </c>
      <c r="B494" s="13" t="s">
        <v>331</v>
      </c>
      <c r="C494" s="13" t="s">
        <v>332</v>
      </c>
      <c r="D494" s="13" t="s">
        <v>333</v>
      </c>
      <c r="E494" s="13" t="s">
        <v>154</v>
      </c>
      <c r="F494" s="13" t="s">
        <v>334</v>
      </c>
      <c r="G494" s="13" t="s">
        <v>156</v>
      </c>
      <c r="H494" s="14">
        <v>0.1100</v>
      </c>
      <c r="I494" s="14">
        <v>0</v>
      </c>
      <c r="J494" s="14">
        <f ca="1">((J493 + H494) - I494)</f>
        <v>0</v>
      </c>
      <c r="K494" s="14">
        <v>0</v>
      </c>
      <c r="L494" s="15">
        <v>0</v>
      </c>
      <c r="M494" s="13" t="s">
        <v>157</v>
      </c>
    </row>
    <row r="495" ht="10.95" customHeight="true" customFormat="true" s="9">
      <c r="A495" s="20" t="s">
        <v>335</v>
      </c>
      <c r="B495" s="20"/>
      <c r="C495" s="20"/>
      <c r="D495" s="20"/>
      <c r="E495" s="20"/>
      <c r="F495" s="20"/>
      <c r="G495" s="20"/>
      <c r="H495" s="21">
        <f ca="1">H494</f>
        <v>0</v>
      </c>
      <c r="I495" s="21">
        <f ca="1">I494</f>
        <v>0</v>
      </c>
      <c r="J495" s="21">
        <f ca="1">J494</f>
        <v>0</v>
      </c>
      <c r="K495" s="21">
        <f ca="1">K494</f>
        <v>0</v>
      </c>
      <c r="L495" s="20"/>
      <c r="M495" s="20"/>
    </row>
    <row r="496" ht="10.95" customHeight="true" customFormat="true" s="9">
      <c r="A496" s="20" t="s">
        <v>25</v>
      </c>
      <c r="B496" s="20"/>
      <c r="C496" s="20"/>
      <c r="D496" s="20"/>
      <c r="E496" s="20"/>
      <c r="F496" s="20"/>
      <c r="G496" s="20"/>
      <c r="H496" s="21">
        <v>0.1100</v>
      </c>
      <c r="I496" s="21">
        <v>0</v>
      </c>
      <c r="J496" s="21">
        <v>0</v>
      </c>
      <c r="K496" s="21">
        <v>0</v>
      </c>
      <c r="L496" s="20"/>
      <c r="M496" s="20"/>
    </row>
    <row r="497" ht="10.95" customHeight="true" customFormat="true" s="9">
      <c r="A497" s="10" t="s">
        <v>26</v>
      </c>
      <c r="B497" s="10"/>
      <c r="C497" s="10"/>
      <c r="D497" s="10"/>
      <c r="E497" s="10"/>
      <c r="F497" s="10"/>
      <c r="G497" s="10"/>
      <c r="H497" s="11">
        <v>0.1100</v>
      </c>
      <c r="I497" s="11">
        <v>0</v>
      </c>
      <c r="J497" s="11">
        <f ca="1">J494</f>
        <v>0</v>
      </c>
      <c r="K497" s="11">
        <v>0</v>
      </c>
      <c r="L497" s="10"/>
      <c r="M497" s="10"/>
    </row>
    <row r="498" ht="13.35" customHeight="true"/>
    <row r="499" ht="12.1" customHeight="true" customFormat="true" s="5">
      <c r="A499" s="8" t="s">
        <v>336</v>
      </c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</row>
    <row r="500" ht="10.95" customHeight="true" customFormat="true" s="9">
      <c r="A500" s="10" t="s">
        <v>17</v>
      </c>
      <c r="B500" s="10"/>
      <c r="C500" s="10"/>
      <c r="D500" s="10"/>
      <c r="E500" s="10"/>
      <c r="F500" s="10"/>
      <c r="G500" s="10"/>
      <c r="H500" s="11">
        <v>0</v>
      </c>
      <c r="I500" s="11">
        <v>0</v>
      </c>
      <c r="J500" s="11">
        <f ca="1">(H500 - I500)</f>
        <v>0</v>
      </c>
      <c r="K500" s="11">
        <v>0</v>
      </c>
      <c r="L500" s="10"/>
      <c r="M500" s="10"/>
    </row>
    <row r="501" ht="10.95" customHeight="true" customFormat="true" s="9">
      <c r="A501" s="12">
        <v>45412</v>
      </c>
      <c r="B501" s="13" t="s">
        <v>337</v>
      </c>
      <c r="C501" s="13" t="s">
        <v>332</v>
      </c>
      <c r="D501" s="13" t="s">
        <v>338</v>
      </c>
      <c r="E501" s="13" t="s">
        <v>339</v>
      </c>
      <c r="F501" s="13" t="s">
        <v>340</v>
      </c>
      <c r="G501" s="13" t="s">
        <v>44</v>
      </c>
      <c r="H501" s="14">
        <v>2367.2500</v>
      </c>
      <c r="I501" s="14">
        <v>0</v>
      </c>
      <c r="J501" s="14">
        <f ca="1">((J500 + H501) - I501)</f>
        <v>0</v>
      </c>
      <c r="K501" s="14">
        <v>236.7300</v>
      </c>
      <c r="L501" s="15">
        <v>10.0000</v>
      </c>
      <c r="M501" s="13" t="s">
        <v>341</v>
      </c>
    </row>
    <row r="502" ht="10.95" customHeight="true" customFormat="true" s="9">
      <c r="A502" s="16">
        <v>45473</v>
      </c>
      <c r="B502" s="17" t="s">
        <v>337</v>
      </c>
      <c r="C502" s="17" t="s">
        <v>332</v>
      </c>
      <c r="D502" s="17" t="s">
        <v>338</v>
      </c>
      <c r="E502" s="17" t="s">
        <v>339</v>
      </c>
      <c r="F502" s="17" t="s">
        <v>342</v>
      </c>
      <c r="G502" s="17" t="s">
        <v>46</v>
      </c>
      <c r="H502" s="18">
        <v>700.0000</v>
      </c>
      <c r="I502" s="18">
        <v>0</v>
      </c>
      <c r="J502" s="18">
        <f ca="1">((J501 + H502) - I502)</f>
        <v>0</v>
      </c>
      <c r="K502" s="18">
        <v>70.0000</v>
      </c>
      <c r="L502" s="19">
        <v>10.0000</v>
      </c>
      <c r="M502" s="17" t="s">
        <v>341</v>
      </c>
    </row>
    <row r="503" ht="10.95" customHeight="true" customFormat="true" s="9">
      <c r="A503" s="16">
        <v>45473</v>
      </c>
      <c r="B503" s="17" t="s">
        <v>337</v>
      </c>
      <c r="C503" s="17" t="s">
        <v>332</v>
      </c>
      <c r="D503" s="17" t="s">
        <v>338</v>
      </c>
      <c r="E503" s="17" t="s">
        <v>339</v>
      </c>
      <c r="F503" s="17" t="s">
        <v>343</v>
      </c>
      <c r="G503" s="17" t="s">
        <v>45</v>
      </c>
      <c r="H503" s="18">
        <v>2500.0000</v>
      </c>
      <c r="I503" s="18">
        <v>0</v>
      </c>
      <c r="J503" s="18">
        <f ca="1">((J502 + H503) - I503)</f>
        <v>0</v>
      </c>
      <c r="K503" s="18">
        <v>250.0000</v>
      </c>
      <c r="L503" s="19">
        <v>10.0000</v>
      </c>
      <c r="M503" s="17" t="s">
        <v>341</v>
      </c>
    </row>
    <row r="504" ht="10.95" customHeight="true" customFormat="true" s="9">
      <c r="A504" s="16">
        <v>45473</v>
      </c>
      <c r="B504" s="17" t="s">
        <v>337</v>
      </c>
      <c r="C504" s="17" t="s">
        <v>332</v>
      </c>
      <c r="D504" s="17" t="s">
        <v>338</v>
      </c>
      <c r="E504" s="17" t="s">
        <v>339</v>
      </c>
      <c r="F504" s="17" t="s">
        <v>344</v>
      </c>
      <c r="G504" s="17" t="s">
        <v>50</v>
      </c>
      <c r="H504" s="18">
        <v>2500.0000</v>
      </c>
      <c r="I504" s="18">
        <v>0</v>
      </c>
      <c r="J504" s="18">
        <f ca="1">((J503 + H504) - I504)</f>
        <v>0</v>
      </c>
      <c r="K504" s="18">
        <v>250.0000</v>
      </c>
      <c r="L504" s="19">
        <v>10.0000</v>
      </c>
      <c r="M504" s="17" t="s">
        <v>341</v>
      </c>
    </row>
    <row r="505" ht="10.95" customHeight="true" customFormat="true" s="9">
      <c r="A505" s="16">
        <v>45504</v>
      </c>
      <c r="B505" s="17" t="s">
        <v>337</v>
      </c>
      <c r="C505" s="17" t="s">
        <v>332</v>
      </c>
      <c r="D505" s="17" t="s">
        <v>338</v>
      </c>
      <c r="E505" s="17" t="s">
        <v>339</v>
      </c>
      <c r="F505" s="17" t="s">
        <v>343</v>
      </c>
      <c r="G505" s="17" t="s">
        <v>51</v>
      </c>
      <c r="H505" s="18">
        <v>2500.0000</v>
      </c>
      <c r="I505" s="18">
        <v>0</v>
      </c>
      <c r="J505" s="18">
        <f ca="1">((J504 + H505) - I505)</f>
        <v>0</v>
      </c>
      <c r="K505" s="18">
        <v>250.0000</v>
      </c>
      <c r="L505" s="19">
        <v>10.0000</v>
      </c>
      <c r="M505" s="17" t="s">
        <v>341</v>
      </c>
    </row>
    <row r="506" ht="31.65" customHeight="true" customFormat="true" s="9">
      <c r="A506" s="16">
        <v>45535</v>
      </c>
      <c r="B506" s="17" t="s">
        <v>337</v>
      </c>
      <c r="C506" s="17" t="s">
        <v>332</v>
      </c>
      <c r="D506" s="17" t="s">
        <v>338</v>
      </c>
      <c r="E506" s="17" t="s">
        <v>339</v>
      </c>
      <c r="F506" s="23" t="s">
        <v>345</v>
      </c>
      <c r="G506" s="17" t="s">
        <v>54</v>
      </c>
      <c r="H506" s="18">
        <v>2500.0000</v>
      </c>
      <c r="I506" s="18">
        <v>0</v>
      </c>
      <c r="J506" s="18">
        <f ca="1">((J505 + H506) - I506)</f>
        <v>0</v>
      </c>
      <c r="K506" s="18">
        <v>250.0000</v>
      </c>
      <c r="L506" s="19">
        <v>10.0000</v>
      </c>
      <c r="M506" s="17" t="s">
        <v>341</v>
      </c>
    </row>
    <row r="507" ht="42" customHeight="true" customFormat="true" s="9">
      <c r="A507" s="16">
        <v>45565</v>
      </c>
      <c r="B507" s="17" t="s">
        <v>337</v>
      </c>
      <c r="C507" s="17" t="s">
        <v>332</v>
      </c>
      <c r="D507" s="17" t="s">
        <v>338</v>
      </c>
      <c r="E507" s="17" t="s">
        <v>339</v>
      </c>
      <c r="F507" s="23" t="s">
        <v>346</v>
      </c>
      <c r="G507" s="17" t="s">
        <v>58</v>
      </c>
      <c r="H507" s="18">
        <v>2500.0000</v>
      </c>
      <c r="I507" s="18">
        <v>0</v>
      </c>
      <c r="J507" s="18">
        <f ca="1">((J506 + H507) - I507)</f>
        <v>0</v>
      </c>
      <c r="K507" s="18">
        <v>250.0000</v>
      </c>
      <c r="L507" s="19">
        <v>10.0000</v>
      </c>
      <c r="M507" s="17" t="s">
        <v>341</v>
      </c>
    </row>
    <row r="508" ht="42" customHeight="true" customFormat="true" s="9">
      <c r="A508" s="16">
        <v>45596</v>
      </c>
      <c r="B508" s="17" t="s">
        <v>337</v>
      </c>
      <c r="C508" s="17" t="s">
        <v>332</v>
      </c>
      <c r="D508" s="17" t="s">
        <v>338</v>
      </c>
      <c r="E508" s="17" t="s">
        <v>339</v>
      </c>
      <c r="F508" s="23" t="s">
        <v>346</v>
      </c>
      <c r="G508" s="17" t="s">
        <v>61</v>
      </c>
      <c r="H508" s="18">
        <v>2500.0000</v>
      </c>
      <c r="I508" s="18">
        <v>0</v>
      </c>
      <c r="J508" s="18">
        <f ca="1">((J507 + H508) - I508)</f>
        <v>0</v>
      </c>
      <c r="K508" s="18">
        <v>250.0000</v>
      </c>
      <c r="L508" s="19">
        <v>10.0000</v>
      </c>
      <c r="M508" s="17" t="s">
        <v>341</v>
      </c>
    </row>
    <row r="509" ht="42" customHeight="true" customFormat="true" s="9">
      <c r="A509" s="16">
        <v>45626</v>
      </c>
      <c r="B509" s="17" t="s">
        <v>337</v>
      </c>
      <c r="C509" s="17" t="s">
        <v>332</v>
      </c>
      <c r="D509" s="17" t="s">
        <v>338</v>
      </c>
      <c r="E509" s="17" t="s">
        <v>339</v>
      </c>
      <c r="F509" s="23" t="s">
        <v>347</v>
      </c>
      <c r="G509" s="17" t="s">
        <v>62</v>
      </c>
      <c r="H509" s="18">
        <v>2500.0000</v>
      </c>
      <c r="I509" s="18">
        <v>0</v>
      </c>
      <c r="J509" s="18">
        <f ca="1">((J508 + H509) - I509)</f>
        <v>0</v>
      </c>
      <c r="K509" s="18">
        <v>250.0000</v>
      </c>
      <c r="L509" s="19">
        <v>10.0000</v>
      </c>
      <c r="M509" s="17" t="s">
        <v>341</v>
      </c>
    </row>
    <row r="510" ht="52.35" customHeight="true" customFormat="true" s="9">
      <c r="A510" s="16">
        <v>45657</v>
      </c>
      <c r="B510" s="17" t="s">
        <v>337</v>
      </c>
      <c r="C510" s="17" t="s">
        <v>332</v>
      </c>
      <c r="D510" s="17" t="s">
        <v>338</v>
      </c>
      <c r="E510" s="17" t="s">
        <v>339</v>
      </c>
      <c r="F510" s="23" t="s">
        <v>348</v>
      </c>
      <c r="G510" s="17" t="s">
        <v>63</v>
      </c>
      <c r="H510" s="18">
        <v>2500.0000</v>
      </c>
      <c r="I510" s="18">
        <v>0</v>
      </c>
      <c r="J510" s="18">
        <f ca="1">((J509 + H510) - I510)</f>
        <v>0</v>
      </c>
      <c r="K510" s="18">
        <v>250.0000</v>
      </c>
      <c r="L510" s="19">
        <v>10.0000</v>
      </c>
      <c r="M510" s="17" t="s">
        <v>341</v>
      </c>
    </row>
    <row r="511" ht="31.65" customHeight="true" customFormat="true" s="9">
      <c r="A511" s="16">
        <v>45688</v>
      </c>
      <c r="B511" s="17" t="s">
        <v>337</v>
      </c>
      <c r="C511" s="17" t="s">
        <v>332</v>
      </c>
      <c r="D511" s="17" t="s">
        <v>338</v>
      </c>
      <c r="E511" s="17" t="s">
        <v>339</v>
      </c>
      <c r="F511" s="23" t="s">
        <v>349</v>
      </c>
      <c r="G511" s="17" t="s">
        <v>66</v>
      </c>
      <c r="H511" s="18">
        <v>2500.0000</v>
      </c>
      <c r="I511" s="18">
        <v>0</v>
      </c>
      <c r="J511" s="18">
        <f ca="1">((J510 + H511) - I511)</f>
        <v>0</v>
      </c>
      <c r="K511" s="18">
        <v>250.0000</v>
      </c>
      <c r="L511" s="19">
        <v>10.0000</v>
      </c>
      <c r="M511" s="17" t="s">
        <v>341</v>
      </c>
    </row>
    <row r="512" ht="31.65" customHeight="true" customFormat="true" s="9">
      <c r="A512" s="16">
        <v>45716</v>
      </c>
      <c r="B512" s="17" t="s">
        <v>337</v>
      </c>
      <c r="C512" s="17" t="s">
        <v>332</v>
      </c>
      <c r="D512" s="17" t="s">
        <v>338</v>
      </c>
      <c r="E512" s="17" t="s">
        <v>339</v>
      </c>
      <c r="F512" s="23" t="s">
        <v>350</v>
      </c>
      <c r="G512" s="17" t="s">
        <v>351</v>
      </c>
      <c r="H512" s="18">
        <v>2500.0000</v>
      </c>
      <c r="I512" s="18">
        <v>0</v>
      </c>
      <c r="J512" s="18">
        <f ca="1">((J511 + H512) - I512)</f>
        <v>0</v>
      </c>
      <c r="K512" s="18">
        <v>250.0000</v>
      </c>
      <c r="L512" s="19">
        <v>10.0000</v>
      </c>
      <c r="M512" s="17" t="s">
        <v>341</v>
      </c>
    </row>
    <row r="513" ht="31.65" customHeight="true" customFormat="true" s="9">
      <c r="A513" s="16">
        <v>45747</v>
      </c>
      <c r="B513" s="17" t="s">
        <v>337</v>
      </c>
      <c r="C513" s="17" t="s">
        <v>332</v>
      </c>
      <c r="D513" s="17" t="s">
        <v>338</v>
      </c>
      <c r="E513" s="17" t="s">
        <v>339</v>
      </c>
      <c r="F513" s="23" t="s">
        <v>352</v>
      </c>
      <c r="G513" s="17" t="s">
        <v>353</v>
      </c>
      <c r="H513" s="18">
        <v>2500.0000</v>
      </c>
      <c r="I513" s="18">
        <v>0</v>
      </c>
      <c r="J513" s="18">
        <f ca="1">((J512 + H513) - I513)</f>
        <v>0</v>
      </c>
      <c r="K513" s="18">
        <v>250.0000</v>
      </c>
      <c r="L513" s="19">
        <v>10.0000</v>
      </c>
      <c r="M513" s="17" t="s">
        <v>341</v>
      </c>
    </row>
    <row r="514" ht="10.95" customHeight="true" customFormat="true" s="9">
      <c r="A514" s="20" t="s">
        <v>354</v>
      </c>
      <c r="B514" s="20"/>
      <c r="C514" s="20"/>
      <c r="D514" s="20"/>
      <c r="E514" s="20"/>
      <c r="F514" s="20"/>
      <c r="G514" s="20"/>
      <c r="H514" s="21">
        <f ca="1">SUM(H501:H513)</f>
        <v>0</v>
      </c>
      <c r="I514" s="21">
        <f ca="1">SUM(I501:I513)</f>
        <v>0</v>
      </c>
      <c r="J514" s="21">
        <f ca="1">J513</f>
        <v>0</v>
      </c>
      <c r="K514" s="21">
        <f ca="1">SUM(K501:K513)</f>
        <v>0</v>
      </c>
      <c r="L514" s="20"/>
      <c r="M514" s="20"/>
    </row>
    <row r="515" ht="10.95" customHeight="true" customFormat="true" s="9">
      <c r="A515" s="20" t="s">
        <v>25</v>
      </c>
      <c r="B515" s="20"/>
      <c r="C515" s="20"/>
      <c r="D515" s="20"/>
      <c r="E515" s="20"/>
      <c r="F515" s="20"/>
      <c r="G515" s="20"/>
      <c r="H515" s="21">
        <v>30567.2500</v>
      </c>
      <c r="I515" s="21">
        <v>0</v>
      </c>
      <c r="J515" s="21">
        <v>0</v>
      </c>
      <c r="K515" s="21">
        <v>0</v>
      </c>
      <c r="L515" s="20"/>
      <c r="M515" s="20"/>
    </row>
    <row r="516" ht="10.95" customHeight="true" customFormat="true" s="9">
      <c r="A516" s="10" t="s">
        <v>26</v>
      </c>
      <c r="B516" s="10"/>
      <c r="C516" s="10"/>
      <c r="D516" s="10"/>
      <c r="E516" s="10"/>
      <c r="F516" s="10"/>
      <c r="G516" s="10"/>
      <c r="H516" s="11">
        <v>30567.2500</v>
      </c>
      <c r="I516" s="11">
        <v>0</v>
      </c>
      <c r="J516" s="11">
        <f ca="1">J513</f>
        <v>0</v>
      </c>
      <c r="K516" s="11">
        <v>0</v>
      </c>
      <c r="L516" s="10"/>
      <c r="M516" s="10"/>
    </row>
    <row r="517" ht="13.35" customHeight="true"/>
    <row r="518" ht="12.1" customHeight="true" customFormat="true" s="5">
      <c r="A518" s="8" t="s">
        <v>355</v>
      </c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</row>
    <row r="519" ht="10.95" customHeight="true" customFormat="true" s="9">
      <c r="A519" s="10" t="s">
        <v>17</v>
      </c>
      <c r="B519" s="10"/>
      <c r="C519" s="10"/>
      <c r="D519" s="10"/>
      <c r="E519" s="10"/>
      <c r="F519" s="10"/>
      <c r="G519" s="10"/>
      <c r="H519" s="11">
        <v>0</v>
      </c>
      <c r="I519" s="11">
        <v>0</v>
      </c>
      <c r="J519" s="11">
        <f ca="1">(H519 - I519)</f>
        <v>0</v>
      </c>
      <c r="K519" s="11">
        <v>0</v>
      </c>
      <c r="L519" s="10"/>
      <c r="M519" s="10"/>
    </row>
    <row r="520" ht="21.3" customHeight="true" customFormat="true" s="9">
      <c r="A520" s="12">
        <v>45565</v>
      </c>
      <c r="B520" s="13" t="s">
        <v>356</v>
      </c>
      <c r="C520" s="13" t="s">
        <v>332</v>
      </c>
      <c r="D520" s="13" t="s">
        <v>357</v>
      </c>
      <c r="E520" s="13" t="s">
        <v>170</v>
      </c>
      <c r="F520" s="22" t="s">
        <v>358</v>
      </c>
      <c r="G520" s="13" t="s">
        <v>359</v>
      </c>
      <c r="H520" s="14">
        <v>992.2900</v>
      </c>
      <c r="I520" s="14">
        <v>0</v>
      </c>
      <c r="J520" s="14">
        <f ca="1">((J519 + H520) - I520)</f>
        <v>0</v>
      </c>
      <c r="K520" s="14">
        <v>0</v>
      </c>
      <c r="L520" s="15">
        <v>0</v>
      </c>
      <c r="M520" s="13" t="s">
        <v>157</v>
      </c>
    </row>
    <row r="521" ht="10.95" customHeight="true" customFormat="true" s="9">
      <c r="A521" s="20" t="s">
        <v>360</v>
      </c>
      <c r="B521" s="20"/>
      <c r="C521" s="20"/>
      <c r="D521" s="20"/>
      <c r="E521" s="20"/>
      <c r="F521" s="20"/>
      <c r="G521" s="20"/>
      <c r="H521" s="21">
        <f ca="1">H520</f>
        <v>0</v>
      </c>
      <c r="I521" s="21">
        <f ca="1">I520</f>
        <v>0</v>
      </c>
      <c r="J521" s="21">
        <f ca="1">J520</f>
        <v>0</v>
      </c>
      <c r="K521" s="21">
        <f ca="1">K520</f>
        <v>0</v>
      </c>
      <c r="L521" s="20"/>
      <c r="M521" s="20"/>
    </row>
    <row r="522" ht="10.95" customHeight="true" customFormat="true" s="9">
      <c r="A522" s="20" t="s">
        <v>25</v>
      </c>
      <c r="B522" s="20"/>
      <c r="C522" s="20"/>
      <c r="D522" s="20"/>
      <c r="E522" s="20"/>
      <c r="F522" s="20"/>
      <c r="G522" s="20"/>
      <c r="H522" s="21">
        <v>992.2900</v>
      </c>
      <c r="I522" s="21">
        <v>0</v>
      </c>
      <c r="J522" s="21">
        <v>0</v>
      </c>
      <c r="K522" s="21">
        <v>0</v>
      </c>
      <c r="L522" s="20"/>
      <c r="M522" s="20"/>
    </row>
    <row r="523" ht="10.95" customHeight="true" customFormat="true" s="9">
      <c r="A523" s="10" t="s">
        <v>26</v>
      </c>
      <c r="B523" s="10"/>
      <c r="C523" s="10"/>
      <c r="D523" s="10"/>
      <c r="E523" s="10"/>
      <c r="F523" s="10"/>
      <c r="G523" s="10"/>
      <c r="H523" s="11">
        <v>992.2900</v>
      </c>
      <c r="I523" s="11">
        <v>0</v>
      </c>
      <c r="J523" s="11">
        <f ca="1">J520</f>
        <v>0</v>
      </c>
      <c r="K523" s="11">
        <v>0</v>
      </c>
      <c r="L523" s="10"/>
      <c r="M523" s="10"/>
    </row>
    <row r="524" ht="13.35" customHeight="true"/>
    <row r="525" ht="12.1" customHeight="true" customFormat="true" s="5">
      <c r="A525" s="8" t="s">
        <v>361</v>
      </c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</row>
    <row r="526" ht="10.95" customHeight="true" customFormat="true" s="9">
      <c r="A526" s="10" t="s">
        <v>17</v>
      </c>
      <c r="B526" s="10"/>
      <c r="C526" s="10"/>
      <c r="D526" s="10"/>
      <c r="E526" s="10"/>
      <c r="F526" s="10"/>
      <c r="G526" s="10"/>
      <c r="H526" s="11">
        <v>0</v>
      </c>
      <c r="I526" s="11">
        <v>0</v>
      </c>
      <c r="J526" s="11">
        <f ca="1">(H526 - I526)</f>
        <v>0</v>
      </c>
      <c r="K526" s="11">
        <v>0</v>
      </c>
      <c r="L526" s="10"/>
      <c r="M526" s="10"/>
    </row>
    <row r="527" ht="10.95" customHeight="true" customFormat="true" s="9">
      <c r="A527" s="12">
        <v>45412</v>
      </c>
      <c r="B527" s="13" t="s">
        <v>362</v>
      </c>
      <c r="C527" s="13" t="s">
        <v>332</v>
      </c>
      <c r="D527" s="13" t="s">
        <v>363</v>
      </c>
      <c r="E527" s="13"/>
      <c r="F527" s="13" t="s">
        <v>364</v>
      </c>
      <c r="G527" s="13"/>
      <c r="H527" s="14">
        <v>15.8400</v>
      </c>
      <c r="I527" s="14">
        <v>0</v>
      </c>
      <c r="J527" s="14">
        <f ca="1">((J526 + H527) - I527)</f>
        <v>0</v>
      </c>
      <c r="K527" s="14">
        <v>0</v>
      </c>
      <c r="L527" s="15">
        <v>0</v>
      </c>
      <c r="M527" s="13"/>
    </row>
    <row r="528" ht="10.95" customHeight="true" customFormat="true" s="9">
      <c r="A528" s="16">
        <v>45412</v>
      </c>
      <c r="B528" s="17" t="s">
        <v>362</v>
      </c>
      <c r="C528" s="17" t="s">
        <v>332</v>
      </c>
      <c r="D528" s="17" t="s">
        <v>363</v>
      </c>
      <c r="E528" s="17"/>
      <c r="F528" s="17" t="s">
        <v>365</v>
      </c>
      <c r="G528" s="17"/>
      <c r="H528" s="18">
        <v>6.1700</v>
      </c>
      <c r="I528" s="18">
        <v>0</v>
      </c>
      <c r="J528" s="18">
        <f ca="1">((J527 + H528) - I528)</f>
        <v>0</v>
      </c>
      <c r="K528" s="18">
        <v>0</v>
      </c>
      <c r="L528" s="19">
        <v>0</v>
      </c>
      <c r="M528" s="17"/>
    </row>
    <row r="529" ht="10.95" customHeight="true" customFormat="true" s="9">
      <c r="A529" s="16">
        <v>45412</v>
      </c>
      <c r="B529" s="17" t="s">
        <v>362</v>
      </c>
      <c r="C529" s="17" t="s">
        <v>332</v>
      </c>
      <c r="D529" s="17" t="s">
        <v>363</v>
      </c>
      <c r="E529" s="17"/>
      <c r="F529" s="17" t="s">
        <v>366</v>
      </c>
      <c r="G529" s="17"/>
      <c r="H529" s="18">
        <v>26.6200</v>
      </c>
      <c r="I529" s="18">
        <v>0</v>
      </c>
      <c r="J529" s="18">
        <f ca="1">((J528 + H529) - I529)</f>
        <v>0</v>
      </c>
      <c r="K529" s="18">
        <v>0</v>
      </c>
      <c r="L529" s="19">
        <v>0</v>
      </c>
      <c r="M529" s="17"/>
    </row>
    <row r="530" ht="10.95" customHeight="true" customFormat="true" s="9">
      <c r="A530" s="16">
        <v>45412</v>
      </c>
      <c r="B530" s="17" t="s">
        <v>362</v>
      </c>
      <c r="C530" s="17" t="s">
        <v>332</v>
      </c>
      <c r="D530" s="17" t="s">
        <v>363</v>
      </c>
      <c r="E530" s="17"/>
      <c r="F530" s="17" t="s">
        <v>367</v>
      </c>
      <c r="G530" s="17"/>
      <c r="H530" s="18">
        <v>18.5100</v>
      </c>
      <c r="I530" s="18">
        <v>0</v>
      </c>
      <c r="J530" s="18">
        <f ca="1">((J529 + H530) - I530)</f>
        <v>0</v>
      </c>
      <c r="K530" s="18">
        <v>0</v>
      </c>
      <c r="L530" s="19">
        <v>0</v>
      </c>
      <c r="M530" s="17"/>
    </row>
    <row r="531" ht="10.95" customHeight="true" customFormat="true" s="9">
      <c r="A531" s="16">
        <v>45443</v>
      </c>
      <c r="B531" s="17" t="s">
        <v>362</v>
      </c>
      <c r="C531" s="17" t="s">
        <v>332</v>
      </c>
      <c r="D531" s="17" t="s">
        <v>363</v>
      </c>
      <c r="E531" s="17"/>
      <c r="F531" s="17" t="s">
        <v>368</v>
      </c>
      <c r="G531" s="17"/>
      <c r="H531" s="18">
        <v>16.3600</v>
      </c>
      <c r="I531" s="18">
        <v>0</v>
      </c>
      <c r="J531" s="18">
        <f ca="1">((J530 + H531) - I531)</f>
        <v>0</v>
      </c>
      <c r="K531" s="18">
        <v>0</v>
      </c>
      <c r="L531" s="19">
        <v>0</v>
      </c>
      <c r="M531" s="17"/>
    </row>
    <row r="532" ht="10.95" customHeight="true" customFormat="true" s="9">
      <c r="A532" s="16">
        <v>45443</v>
      </c>
      <c r="B532" s="17" t="s">
        <v>362</v>
      </c>
      <c r="C532" s="17" t="s">
        <v>332</v>
      </c>
      <c r="D532" s="17" t="s">
        <v>363</v>
      </c>
      <c r="E532" s="17"/>
      <c r="F532" s="17" t="s">
        <v>369</v>
      </c>
      <c r="G532" s="17"/>
      <c r="H532" s="18">
        <v>6.3700</v>
      </c>
      <c r="I532" s="18">
        <v>0</v>
      </c>
      <c r="J532" s="18">
        <f ca="1">((J531 + H532) - I532)</f>
        <v>0</v>
      </c>
      <c r="K532" s="18">
        <v>0</v>
      </c>
      <c r="L532" s="19">
        <v>0</v>
      </c>
      <c r="M532" s="17"/>
    </row>
    <row r="533" ht="10.95" customHeight="true" customFormat="true" s="9">
      <c r="A533" s="16">
        <v>45443</v>
      </c>
      <c r="B533" s="17" t="s">
        <v>362</v>
      </c>
      <c r="C533" s="17" t="s">
        <v>332</v>
      </c>
      <c r="D533" s="17" t="s">
        <v>363</v>
      </c>
      <c r="E533" s="17"/>
      <c r="F533" s="17" t="s">
        <v>370</v>
      </c>
      <c r="G533" s="17"/>
      <c r="H533" s="18">
        <v>27.5100</v>
      </c>
      <c r="I533" s="18">
        <v>0</v>
      </c>
      <c r="J533" s="18">
        <f ca="1">((J532 + H533) - I533)</f>
        <v>0</v>
      </c>
      <c r="K533" s="18">
        <v>0</v>
      </c>
      <c r="L533" s="19">
        <v>0</v>
      </c>
      <c r="M533" s="17"/>
    </row>
    <row r="534" ht="10.95" customHeight="true" customFormat="true" s="9">
      <c r="A534" s="16">
        <v>45443</v>
      </c>
      <c r="B534" s="17" t="s">
        <v>362</v>
      </c>
      <c r="C534" s="17" t="s">
        <v>332</v>
      </c>
      <c r="D534" s="17" t="s">
        <v>363</v>
      </c>
      <c r="E534" s="17"/>
      <c r="F534" s="17" t="s">
        <v>371</v>
      </c>
      <c r="G534" s="17"/>
      <c r="H534" s="18">
        <v>19.1300</v>
      </c>
      <c r="I534" s="18">
        <v>0</v>
      </c>
      <c r="J534" s="18">
        <f ca="1">((J533 + H534) - I534)</f>
        <v>0</v>
      </c>
      <c r="K534" s="18">
        <v>0</v>
      </c>
      <c r="L534" s="19">
        <v>0</v>
      </c>
      <c r="M534" s="17"/>
    </row>
    <row r="535" ht="10.95" customHeight="true" customFormat="true" s="9">
      <c r="A535" s="16">
        <v>45473</v>
      </c>
      <c r="B535" s="17" t="s">
        <v>362</v>
      </c>
      <c r="C535" s="17" t="s">
        <v>332</v>
      </c>
      <c r="D535" s="17" t="s">
        <v>363</v>
      </c>
      <c r="E535" s="17"/>
      <c r="F535" s="17" t="s">
        <v>372</v>
      </c>
      <c r="G535" s="17"/>
      <c r="H535" s="18">
        <v>15.8400</v>
      </c>
      <c r="I535" s="18">
        <v>0</v>
      </c>
      <c r="J535" s="18">
        <f ca="1">((J534 + H535) - I535)</f>
        <v>0</v>
      </c>
      <c r="K535" s="18">
        <v>0</v>
      </c>
      <c r="L535" s="19">
        <v>0</v>
      </c>
      <c r="M535" s="17"/>
    </row>
    <row r="536" ht="10.95" customHeight="true" customFormat="true" s="9">
      <c r="A536" s="16">
        <v>45473</v>
      </c>
      <c r="B536" s="17" t="s">
        <v>362</v>
      </c>
      <c r="C536" s="17" t="s">
        <v>332</v>
      </c>
      <c r="D536" s="17" t="s">
        <v>363</v>
      </c>
      <c r="E536" s="17"/>
      <c r="F536" s="17" t="s">
        <v>373</v>
      </c>
      <c r="G536" s="17"/>
      <c r="H536" s="18">
        <v>6.1700</v>
      </c>
      <c r="I536" s="18">
        <v>0</v>
      </c>
      <c r="J536" s="18">
        <f ca="1">((J535 + H536) - I536)</f>
        <v>0</v>
      </c>
      <c r="K536" s="18">
        <v>0</v>
      </c>
      <c r="L536" s="19">
        <v>0</v>
      </c>
      <c r="M536" s="17"/>
    </row>
    <row r="537" ht="10.95" customHeight="true" customFormat="true" s="9">
      <c r="A537" s="16">
        <v>45473</v>
      </c>
      <c r="B537" s="17" t="s">
        <v>362</v>
      </c>
      <c r="C537" s="17" t="s">
        <v>332</v>
      </c>
      <c r="D537" s="17" t="s">
        <v>363</v>
      </c>
      <c r="E537" s="17"/>
      <c r="F537" s="17" t="s">
        <v>374</v>
      </c>
      <c r="G537" s="17"/>
      <c r="H537" s="18">
        <v>26.6300</v>
      </c>
      <c r="I537" s="18">
        <v>0</v>
      </c>
      <c r="J537" s="18">
        <f ca="1">((J536 + H537) - I537)</f>
        <v>0</v>
      </c>
      <c r="K537" s="18">
        <v>0</v>
      </c>
      <c r="L537" s="19">
        <v>0</v>
      </c>
      <c r="M537" s="17"/>
    </row>
    <row r="538" ht="10.95" customHeight="true" customFormat="true" s="9">
      <c r="A538" s="16">
        <v>45473</v>
      </c>
      <c r="B538" s="17" t="s">
        <v>362</v>
      </c>
      <c r="C538" s="17" t="s">
        <v>332</v>
      </c>
      <c r="D538" s="17" t="s">
        <v>363</v>
      </c>
      <c r="E538" s="17"/>
      <c r="F538" s="17" t="s">
        <v>375</v>
      </c>
      <c r="G538" s="17"/>
      <c r="H538" s="18">
        <v>18.5100</v>
      </c>
      <c r="I538" s="18">
        <v>0</v>
      </c>
      <c r="J538" s="18">
        <f ca="1">((J537 + H538) - I538)</f>
        <v>0</v>
      </c>
      <c r="K538" s="18">
        <v>0</v>
      </c>
      <c r="L538" s="19">
        <v>0</v>
      </c>
      <c r="M538" s="17"/>
    </row>
    <row r="539" ht="10.95" customHeight="true" customFormat="true" s="9">
      <c r="A539" s="16">
        <v>45504</v>
      </c>
      <c r="B539" s="17" t="s">
        <v>362</v>
      </c>
      <c r="C539" s="17" t="s">
        <v>332</v>
      </c>
      <c r="D539" s="17" t="s">
        <v>363</v>
      </c>
      <c r="E539" s="17"/>
      <c r="F539" s="17" t="s">
        <v>376</v>
      </c>
      <c r="G539" s="17"/>
      <c r="H539" s="18">
        <v>16.3600</v>
      </c>
      <c r="I539" s="18">
        <v>0</v>
      </c>
      <c r="J539" s="18">
        <f ca="1">((J538 + H539) - I539)</f>
        <v>0</v>
      </c>
      <c r="K539" s="18">
        <v>0</v>
      </c>
      <c r="L539" s="19">
        <v>0</v>
      </c>
      <c r="M539" s="17"/>
    </row>
    <row r="540" ht="10.95" customHeight="true" customFormat="true" s="9">
      <c r="A540" s="16">
        <v>45504</v>
      </c>
      <c r="B540" s="17" t="s">
        <v>362</v>
      </c>
      <c r="C540" s="17" t="s">
        <v>332</v>
      </c>
      <c r="D540" s="17" t="s">
        <v>363</v>
      </c>
      <c r="E540" s="17"/>
      <c r="F540" s="17" t="s">
        <v>377</v>
      </c>
      <c r="G540" s="17"/>
      <c r="H540" s="18">
        <v>6.3700</v>
      </c>
      <c r="I540" s="18">
        <v>0</v>
      </c>
      <c r="J540" s="18">
        <f ca="1">((J539 + H540) - I540)</f>
        <v>0</v>
      </c>
      <c r="K540" s="18">
        <v>0</v>
      </c>
      <c r="L540" s="19">
        <v>0</v>
      </c>
      <c r="M540" s="17"/>
    </row>
    <row r="541" ht="10.95" customHeight="true" customFormat="true" s="9">
      <c r="A541" s="16">
        <v>45504</v>
      </c>
      <c r="B541" s="17" t="s">
        <v>362</v>
      </c>
      <c r="C541" s="17" t="s">
        <v>332</v>
      </c>
      <c r="D541" s="17" t="s">
        <v>363</v>
      </c>
      <c r="E541" s="17"/>
      <c r="F541" s="17" t="s">
        <v>378</v>
      </c>
      <c r="G541" s="17"/>
      <c r="H541" s="18">
        <v>27.5100</v>
      </c>
      <c r="I541" s="18">
        <v>0</v>
      </c>
      <c r="J541" s="18">
        <f ca="1">((J540 + H541) - I541)</f>
        <v>0</v>
      </c>
      <c r="K541" s="18">
        <v>0</v>
      </c>
      <c r="L541" s="19">
        <v>0</v>
      </c>
      <c r="M541" s="17"/>
    </row>
    <row r="542" ht="10.95" customHeight="true" customFormat="true" s="9">
      <c r="A542" s="16">
        <v>45504</v>
      </c>
      <c r="B542" s="17" t="s">
        <v>362</v>
      </c>
      <c r="C542" s="17" t="s">
        <v>332</v>
      </c>
      <c r="D542" s="17" t="s">
        <v>363</v>
      </c>
      <c r="E542" s="17"/>
      <c r="F542" s="17" t="s">
        <v>379</v>
      </c>
      <c r="G542" s="17"/>
      <c r="H542" s="18">
        <v>19.1300</v>
      </c>
      <c r="I542" s="18">
        <v>0</v>
      </c>
      <c r="J542" s="18">
        <f ca="1">((J541 + H542) - I542)</f>
        <v>0</v>
      </c>
      <c r="K542" s="18">
        <v>0</v>
      </c>
      <c r="L542" s="19">
        <v>0</v>
      </c>
      <c r="M542" s="17"/>
    </row>
    <row r="543" ht="10.95" customHeight="true" customFormat="true" s="9">
      <c r="A543" s="16">
        <v>45535</v>
      </c>
      <c r="B543" s="17" t="s">
        <v>362</v>
      </c>
      <c r="C543" s="17" t="s">
        <v>332</v>
      </c>
      <c r="D543" s="17" t="s">
        <v>363</v>
      </c>
      <c r="E543" s="17"/>
      <c r="F543" s="17" t="s">
        <v>380</v>
      </c>
      <c r="G543" s="17"/>
      <c r="H543" s="18">
        <v>16.3700</v>
      </c>
      <c r="I543" s="18">
        <v>0</v>
      </c>
      <c r="J543" s="18">
        <f ca="1">((J542 + H543) - I543)</f>
        <v>0</v>
      </c>
      <c r="K543" s="18">
        <v>0</v>
      </c>
      <c r="L543" s="19">
        <v>0</v>
      </c>
      <c r="M543" s="17"/>
    </row>
    <row r="544" ht="10.95" customHeight="true" customFormat="true" s="9">
      <c r="A544" s="16">
        <v>45535</v>
      </c>
      <c r="B544" s="17" t="s">
        <v>362</v>
      </c>
      <c r="C544" s="17" t="s">
        <v>332</v>
      </c>
      <c r="D544" s="17" t="s">
        <v>363</v>
      </c>
      <c r="E544" s="17"/>
      <c r="F544" s="17" t="s">
        <v>381</v>
      </c>
      <c r="G544" s="17"/>
      <c r="H544" s="18">
        <v>6.3800</v>
      </c>
      <c r="I544" s="18">
        <v>0</v>
      </c>
      <c r="J544" s="18">
        <f ca="1">((J543 + H544) - I544)</f>
        <v>0</v>
      </c>
      <c r="K544" s="18">
        <v>0</v>
      </c>
      <c r="L544" s="19">
        <v>0</v>
      </c>
      <c r="M544" s="17"/>
    </row>
    <row r="545" ht="10.95" customHeight="true" customFormat="true" s="9">
      <c r="A545" s="16">
        <v>45535</v>
      </c>
      <c r="B545" s="17" t="s">
        <v>362</v>
      </c>
      <c r="C545" s="17" t="s">
        <v>332</v>
      </c>
      <c r="D545" s="17" t="s">
        <v>363</v>
      </c>
      <c r="E545" s="17"/>
      <c r="F545" s="17" t="s">
        <v>382</v>
      </c>
      <c r="G545" s="17"/>
      <c r="H545" s="18">
        <v>27.5100</v>
      </c>
      <c r="I545" s="18">
        <v>0</v>
      </c>
      <c r="J545" s="18">
        <f ca="1">((J544 + H545) - I545)</f>
        <v>0</v>
      </c>
      <c r="K545" s="18">
        <v>0</v>
      </c>
      <c r="L545" s="19">
        <v>0</v>
      </c>
      <c r="M545" s="17"/>
    </row>
    <row r="546" ht="10.95" customHeight="true" customFormat="true" s="9">
      <c r="A546" s="16">
        <v>45535</v>
      </c>
      <c r="B546" s="17" t="s">
        <v>362</v>
      </c>
      <c r="C546" s="17" t="s">
        <v>332</v>
      </c>
      <c r="D546" s="17" t="s">
        <v>363</v>
      </c>
      <c r="E546" s="17"/>
      <c r="F546" s="17" t="s">
        <v>383</v>
      </c>
      <c r="G546" s="17"/>
      <c r="H546" s="18">
        <v>19.1300</v>
      </c>
      <c r="I546" s="18">
        <v>0</v>
      </c>
      <c r="J546" s="18">
        <f ca="1">((J545 + H546) - I546)</f>
        <v>0</v>
      </c>
      <c r="K546" s="18">
        <v>0</v>
      </c>
      <c r="L546" s="19">
        <v>0</v>
      </c>
      <c r="M546" s="17"/>
    </row>
    <row r="547" ht="10.95" customHeight="true" customFormat="true" s="9">
      <c r="A547" s="16">
        <v>45565</v>
      </c>
      <c r="B547" s="17" t="s">
        <v>362</v>
      </c>
      <c r="C547" s="17" t="s">
        <v>332</v>
      </c>
      <c r="D547" s="17" t="s">
        <v>363</v>
      </c>
      <c r="E547" s="17"/>
      <c r="F547" s="17" t="s">
        <v>384</v>
      </c>
      <c r="G547" s="17"/>
      <c r="H547" s="18">
        <v>15.8400</v>
      </c>
      <c r="I547" s="18">
        <v>0</v>
      </c>
      <c r="J547" s="18">
        <f ca="1">((J546 + H547) - I547)</f>
        <v>0</v>
      </c>
      <c r="K547" s="18">
        <v>0</v>
      </c>
      <c r="L547" s="19">
        <v>0</v>
      </c>
      <c r="M547" s="17"/>
    </row>
    <row r="548" ht="10.95" customHeight="true" customFormat="true" s="9">
      <c r="A548" s="16">
        <v>45565</v>
      </c>
      <c r="B548" s="17" t="s">
        <v>362</v>
      </c>
      <c r="C548" s="17" t="s">
        <v>332</v>
      </c>
      <c r="D548" s="17" t="s">
        <v>363</v>
      </c>
      <c r="E548" s="17"/>
      <c r="F548" s="17" t="s">
        <v>385</v>
      </c>
      <c r="G548" s="17"/>
      <c r="H548" s="18">
        <v>6.1700</v>
      </c>
      <c r="I548" s="18">
        <v>0</v>
      </c>
      <c r="J548" s="18">
        <f ca="1">((J547 + H548) - I548)</f>
        <v>0</v>
      </c>
      <c r="K548" s="18">
        <v>0</v>
      </c>
      <c r="L548" s="19">
        <v>0</v>
      </c>
      <c r="M548" s="17"/>
    </row>
    <row r="549" ht="10.95" customHeight="true" customFormat="true" s="9">
      <c r="A549" s="16">
        <v>45565</v>
      </c>
      <c r="B549" s="17" t="s">
        <v>362</v>
      </c>
      <c r="C549" s="17" t="s">
        <v>332</v>
      </c>
      <c r="D549" s="17" t="s">
        <v>363</v>
      </c>
      <c r="E549" s="17"/>
      <c r="F549" s="17" t="s">
        <v>386</v>
      </c>
      <c r="G549" s="17"/>
      <c r="H549" s="18">
        <v>26.6200</v>
      </c>
      <c r="I549" s="18">
        <v>0</v>
      </c>
      <c r="J549" s="18">
        <f ca="1">((J548 + H549) - I549)</f>
        <v>0</v>
      </c>
      <c r="K549" s="18">
        <v>0</v>
      </c>
      <c r="L549" s="19">
        <v>0</v>
      </c>
      <c r="M549" s="17"/>
    </row>
    <row r="550" ht="10.95" customHeight="true" customFormat="true" s="9">
      <c r="A550" s="16">
        <v>45565</v>
      </c>
      <c r="B550" s="17" t="s">
        <v>362</v>
      </c>
      <c r="C550" s="17" t="s">
        <v>332</v>
      </c>
      <c r="D550" s="17" t="s">
        <v>363</v>
      </c>
      <c r="E550" s="17"/>
      <c r="F550" s="17" t="s">
        <v>387</v>
      </c>
      <c r="G550" s="17"/>
      <c r="H550" s="18">
        <v>18.5100</v>
      </c>
      <c r="I550" s="18">
        <v>0</v>
      </c>
      <c r="J550" s="18">
        <f ca="1">((J549 + H550) - I550)</f>
        <v>0</v>
      </c>
      <c r="K550" s="18">
        <v>0</v>
      </c>
      <c r="L550" s="19">
        <v>0</v>
      </c>
      <c r="M550" s="17"/>
    </row>
    <row r="551" ht="10.95" customHeight="true" customFormat="true" s="9">
      <c r="A551" s="16">
        <v>45596</v>
      </c>
      <c r="B551" s="17" t="s">
        <v>362</v>
      </c>
      <c r="C551" s="17" t="s">
        <v>332</v>
      </c>
      <c r="D551" s="17" t="s">
        <v>363</v>
      </c>
      <c r="E551" s="17"/>
      <c r="F551" s="17" t="s">
        <v>388</v>
      </c>
      <c r="G551" s="17"/>
      <c r="H551" s="18">
        <v>16.3600</v>
      </c>
      <c r="I551" s="18">
        <v>0</v>
      </c>
      <c r="J551" s="18">
        <f ca="1">((J550 + H551) - I551)</f>
        <v>0</v>
      </c>
      <c r="K551" s="18">
        <v>0</v>
      </c>
      <c r="L551" s="19">
        <v>0</v>
      </c>
      <c r="M551" s="17"/>
    </row>
    <row r="552" ht="10.95" customHeight="true" customFormat="true" s="9">
      <c r="A552" s="16">
        <v>45596</v>
      </c>
      <c r="B552" s="17" t="s">
        <v>362</v>
      </c>
      <c r="C552" s="17" t="s">
        <v>332</v>
      </c>
      <c r="D552" s="17" t="s">
        <v>363</v>
      </c>
      <c r="E552" s="17"/>
      <c r="F552" s="17" t="s">
        <v>389</v>
      </c>
      <c r="G552" s="17"/>
      <c r="H552" s="18">
        <v>6.3700</v>
      </c>
      <c r="I552" s="18">
        <v>0</v>
      </c>
      <c r="J552" s="18">
        <f ca="1">((J551 + H552) - I552)</f>
        <v>0</v>
      </c>
      <c r="K552" s="18">
        <v>0</v>
      </c>
      <c r="L552" s="19">
        <v>0</v>
      </c>
      <c r="M552" s="17"/>
    </row>
    <row r="553" ht="10.95" customHeight="true" customFormat="true" s="9">
      <c r="A553" s="16">
        <v>45596</v>
      </c>
      <c r="B553" s="17" t="s">
        <v>362</v>
      </c>
      <c r="C553" s="17" t="s">
        <v>332</v>
      </c>
      <c r="D553" s="17" t="s">
        <v>363</v>
      </c>
      <c r="E553" s="17"/>
      <c r="F553" s="17" t="s">
        <v>390</v>
      </c>
      <c r="G553" s="17"/>
      <c r="H553" s="18">
        <v>27.5100</v>
      </c>
      <c r="I553" s="18">
        <v>0</v>
      </c>
      <c r="J553" s="18">
        <f ca="1">((J552 + H553) - I553)</f>
        <v>0</v>
      </c>
      <c r="K553" s="18">
        <v>0</v>
      </c>
      <c r="L553" s="19">
        <v>0</v>
      </c>
      <c r="M553" s="17"/>
    </row>
    <row r="554" ht="10.95" customHeight="true" customFormat="true" s="9">
      <c r="A554" s="16">
        <v>45596</v>
      </c>
      <c r="B554" s="17" t="s">
        <v>362</v>
      </c>
      <c r="C554" s="17" t="s">
        <v>332</v>
      </c>
      <c r="D554" s="17" t="s">
        <v>363</v>
      </c>
      <c r="E554" s="17"/>
      <c r="F554" s="17" t="s">
        <v>391</v>
      </c>
      <c r="G554" s="17"/>
      <c r="H554" s="18">
        <v>19.1200</v>
      </c>
      <c r="I554" s="18">
        <v>0</v>
      </c>
      <c r="J554" s="18">
        <f ca="1">((J553 + H554) - I554)</f>
        <v>0</v>
      </c>
      <c r="K554" s="18">
        <v>0</v>
      </c>
      <c r="L554" s="19">
        <v>0</v>
      </c>
      <c r="M554" s="17"/>
    </row>
    <row r="555" ht="10.95" customHeight="true" customFormat="true" s="9">
      <c r="A555" s="16">
        <v>45626</v>
      </c>
      <c r="B555" s="17" t="s">
        <v>362</v>
      </c>
      <c r="C555" s="17" t="s">
        <v>332</v>
      </c>
      <c r="D555" s="17" t="s">
        <v>363</v>
      </c>
      <c r="E555" s="17"/>
      <c r="F555" s="17" t="s">
        <v>392</v>
      </c>
      <c r="G555" s="17"/>
      <c r="H555" s="18">
        <v>15.8400</v>
      </c>
      <c r="I555" s="18">
        <v>0</v>
      </c>
      <c r="J555" s="18">
        <f ca="1">((J554 + H555) - I555)</f>
        <v>0</v>
      </c>
      <c r="K555" s="18">
        <v>0</v>
      </c>
      <c r="L555" s="19">
        <v>0</v>
      </c>
      <c r="M555" s="17"/>
    </row>
    <row r="556" ht="10.95" customHeight="true" customFormat="true" s="9">
      <c r="A556" s="16">
        <v>45626</v>
      </c>
      <c r="B556" s="17" t="s">
        <v>362</v>
      </c>
      <c r="C556" s="17" t="s">
        <v>332</v>
      </c>
      <c r="D556" s="17" t="s">
        <v>363</v>
      </c>
      <c r="E556" s="17"/>
      <c r="F556" s="17" t="s">
        <v>393</v>
      </c>
      <c r="G556" s="17"/>
      <c r="H556" s="18">
        <v>6.1700</v>
      </c>
      <c r="I556" s="18">
        <v>0</v>
      </c>
      <c r="J556" s="18">
        <f ca="1">((J555 + H556) - I556)</f>
        <v>0</v>
      </c>
      <c r="K556" s="18">
        <v>0</v>
      </c>
      <c r="L556" s="19">
        <v>0</v>
      </c>
      <c r="M556" s="17"/>
    </row>
    <row r="557" ht="10.95" customHeight="true" customFormat="true" s="9">
      <c r="A557" s="16">
        <v>45626</v>
      </c>
      <c r="B557" s="17" t="s">
        <v>362</v>
      </c>
      <c r="C557" s="17" t="s">
        <v>332</v>
      </c>
      <c r="D557" s="17" t="s">
        <v>363</v>
      </c>
      <c r="E557" s="17"/>
      <c r="F557" s="17" t="s">
        <v>394</v>
      </c>
      <c r="G557" s="17"/>
      <c r="H557" s="18">
        <v>26.6200</v>
      </c>
      <c r="I557" s="18">
        <v>0</v>
      </c>
      <c r="J557" s="18">
        <f ca="1">((J556 + H557) - I557)</f>
        <v>0</v>
      </c>
      <c r="K557" s="18">
        <v>0</v>
      </c>
      <c r="L557" s="19">
        <v>0</v>
      </c>
      <c r="M557" s="17"/>
    </row>
    <row r="558" ht="10.95" customHeight="true" customFormat="true" s="9">
      <c r="A558" s="16">
        <v>45626</v>
      </c>
      <c r="B558" s="17" t="s">
        <v>362</v>
      </c>
      <c r="C558" s="17" t="s">
        <v>332</v>
      </c>
      <c r="D558" s="17" t="s">
        <v>363</v>
      </c>
      <c r="E558" s="17"/>
      <c r="F558" s="17" t="s">
        <v>395</v>
      </c>
      <c r="G558" s="17"/>
      <c r="H558" s="18">
        <v>18.5200</v>
      </c>
      <c r="I558" s="18">
        <v>0</v>
      </c>
      <c r="J558" s="18">
        <f ca="1">((J557 + H558) - I558)</f>
        <v>0</v>
      </c>
      <c r="K558" s="18">
        <v>0</v>
      </c>
      <c r="L558" s="19">
        <v>0</v>
      </c>
      <c r="M558" s="17"/>
    </row>
    <row r="559" ht="10.95" customHeight="true" customFormat="true" s="9">
      <c r="A559" s="16">
        <v>45657</v>
      </c>
      <c r="B559" s="17" t="s">
        <v>362</v>
      </c>
      <c r="C559" s="17" t="s">
        <v>332</v>
      </c>
      <c r="D559" s="17" t="s">
        <v>363</v>
      </c>
      <c r="E559" s="17"/>
      <c r="F559" s="17" t="s">
        <v>396</v>
      </c>
      <c r="G559" s="17"/>
      <c r="H559" s="18">
        <v>16.3600</v>
      </c>
      <c r="I559" s="18">
        <v>0</v>
      </c>
      <c r="J559" s="18">
        <f ca="1">((J558 + H559) - I559)</f>
        <v>0</v>
      </c>
      <c r="K559" s="18">
        <v>0</v>
      </c>
      <c r="L559" s="19">
        <v>0</v>
      </c>
      <c r="M559" s="17"/>
    </row>
    <row r="560" ht="10.95" customHeight="true" customFormat="true" s="9">
      <c r="A560" s="16">
        <v>45657</v>
      </c>
      <c r="B560" s="17" t="s">
        <v>362</v>
      </c>
      <c r="C560" s="17" t="s">
        <v>332</v>
      </c>
      <c r="D560" s="17" t="s">
        <v>363</v>
      </c>
      <c r="E560" s="17"/>
      <c r="F560" s="17" t="s">
        <v>397</v>
      </c>
      <c r="G560" s="17"/>
      <c r="H560" s="18">
        <v>6.3700</v>
      </c>
      <c r="I560" s="18">
        <v>0</v>
      </c>
      <c r="J560" s="18">
        <f ca="1">((J559 + H560) - I560)</f>
        <v>0</v>
      </c>
      <c r="K560" s="18">
        <v>0</v>
      </c>
      <c r="L560" s="19">
        <v>0</v>
      </c>
      <c r="M560" s="17"/>
    </row>
    <row r="561" ht="10.95" customHeight="true" customFormat="true" s="9">
      <c r="A561" s="16">
        <v>45657</v>
      </c>
      <c r="B561" s="17" t="s">
        <v>362</v>
      </c>
      <c r="C561" s="17" t="s">
        <v>332</v>
      </c>
      <c r="D561" s="17" t="s">
        <v>363</v>
      </c>
      <c r="E561" s="17"/>
      <c r="F561" s="17" t="s">
        <v>398</v>
      </c>
      <c r="G561" s="17"/>
      <c r="H561" s="18">
        <v>27.5100</v>
      </c>
      <c r="I561" s="18">
        <v>0</v>
      </c>
      <c r="J561" s="18">
        <f ca="1">((J560 + H561) - I561)</f>
        <v>0</v>
      </c>
      <c r="K561" s="18">
        <v>0</v>
      </c>
      <c r="L561" s="19">
        <v>0</v>
      </c>
      <c r="M561" s="17"/>
    </row>
    <row r="562" ht="10.95" customHeight="true" customFormat="true" s="9">
      <c r="A562" s="16">
        <v>45657</v>
      </c>
      <c r="B562" s="17" t="s">
        <v>362</v>
      </c>
      <c r="C562" s="17" t="s">
        <v>332</v>
      </c>
      <c r="D562" s="17" t="s">
        <v>363</v>
      </c>
      <c r="E562" s="17"/>
      <c r="F562" s="17" t="s">
        <v>399</v>
      </c>
      <c r="G562" s="17"/>
      <c r="H562" s="18">
        <v>19.1200</v>
      </c>
      <c r="I562" s="18">
        <v>0</v>
      </c>
      <c r="J562" s="18">
        <f ca="1">((J561 + H562) - I562)</f>
        <v>0</v>
      </c>
      <c r="K562" s="18">
        <v>0</v>
      </c>
      <c r="L562" s="19">
        <v>0</v>
      </c>
      <c r="M562" s="17"/>
    </row>
    <row r="563" ht="10.95" customHeight="true" customFormat="true" s="9">
      <c r="A563" s="16">
        <v>45688</v>
      </c>
      <c r="B563" s="17" t="s">
        <v>362</v>
      </c>
      <c r="C563" s="17" t="s">
        <v>332</v>
      </c>
      <c r="D563" s="17" t="s">
        <v>363</v>
      </c>
      <c r="E563" s="17"/>
      <c r="F563" s="17" t="s">
        <v>400</v>
      </c>
      <c r="G563" s="17"/>
      <c r="H563" s="18">
        <v>16.3700</v>
      </c>
      <c r="I563" s="18">
        <v>0</v>
      </c>
      <c r="J563" s="18">
        <f ca="1">((J562 + H563) - I563)</f>
        <v>0</v>
      </c>
      <c r="K563" s="18">
        <v>0</v>
      </c>
      <c r="L563" s="19">
        <v>0</v>
      </c>
      <c r="M563" s="17"/>
    </row>
    <row r="564" ht="10.95" customHeight="true" customFormat="true" s="9">
      <c r="A564" s="16">
        <v>45688</v>
      </c>
      <c r="B564" s="17" t="s">
        <v>362</v>
      </c>
      <c r="C564" s="17" t="s">
        <v>332</v>
      </c>
      <c r="D564" s="17" t="s">
        <v>363</v>
      </c>
      <c r="E564" s="17"/>
      <c r="F564" s="17" t="s">
        <v>401</v>
      </c>
      <c r="G564" s="17"/>
      <c r="H564" s="18">
        <v>6.3700</v>
      </c>
      <c r="I564" s="18">
        <v>0</v>
      </c>
      <c r="J564" s="18">
        <f ca="1">((J563 + H564) - I564)</f>
        <v>0</v>
      </c>
      <c r="K564" s="18">
        <v>0</v>
      </c>
      <c r="L564" s="19">
        <v>0</v>
      </c>
      <c r="M564" s="17"/>
    </row>
    <row r="565" ht="10.95" customHeight="true" customFormat="true" s="9">
      <c r="A565" s="16">
        <v>45688</v>
      </c>
      <c r="B565" s="17" t="s">
        <v>362</v>
      </c>
      <c r="C565" s="17" t="s">
        <v>332</v>
      </c>
      <c r="D565" s="17" t="s">
        <v>363</v>
      </c>
      <c r="E565" s="17"/>
      <c r="F565" s="17" t="s">
        <v>402</v>
      </c>
      <c r="G565" s="17"/>
      <c r="H565" s="18">
        <v>27.5100</v>
      </c>
      <c r="I565" s="18">
        <v>0</v>
      </c>
      <c r="J565" s="18">
        <f ca="1">((J564 + H565) - I565)</f>
        <v>0</v>
      </c>
      <c r="K565" s="18">
        <v>0</v>
      </c>
      <c r="L565" s="19">
        <v>0</v>
      </c>
      <c r="M565" s="17"/>
    </row>
    <row r="566" ht="10.95" customHeight="true" customFormat="true" s="9">
      <c r="A566" s="16">
        <v>45688</v>
      </c>
      <c r="B566" s="17" t="s">
        <v>362</v>
      </c>
      <c r="C566" s="17" t="s">
        <v>332</v>
      </c>
      <c r="D566" s="17" t="s">
        <v>363</v>
      </c>
      <c r="E566" s="17"/>
      <c r="F566" s="17" t="s">
        <v>403</v>
      </c>
      <c r="G566" s="17"/>
      <c r="H566" s="18">
        <v>19.1300</v>
      </c>
      <c r="I566" s="18">
        <v>0</v>
      </c>
      <c r="J566" s="18">
        <f ca="1">((J565 + H566) - I566)</f>
        <v>0</v>
      </c>
      <c r="K566" s="18">
        <v>0</v>
      </c>
      <c r="L566" s="19">
        <v>0</v>
      </c>
      <c r="M566" s="17"/>
    </row>
    <row r="567" ht="10.95" customHeight="true" customFormat="true" s="9">
      <c r="A567" s="16">
        <v>45716</v>
      </c>
      <c r="B567" s="17" t="s">
        <v>362</v>
      </c>
      <c r="C567" s="17" t="s">
        <v>332</v>
      </c>
      <c r="D567" s="17" t="s">
        <v>363</v>
      </c>
      <c r="E567" s="17"/>
      <c r="F567" s="17" t="s">
        <v>404</v>
      </c>
      <c r="G567" s="17"/>
      <c r="H567" s="18">
        <v>14.7800</v>
      </c>
      <c r="I567" s="18">
        <v>0</v>
      </c>
      <c r="J567" s="18">
        <f ca="1">((J566 + H567) - I567)</f>
        <v>0</v>
      </c>
      <c r="K567" s="18">
        <v>0</v>
      </c>
      <c r="L567" s="19">
        <v>0</v>
      </c>
      <c r="M567" s="17"/>
    </row>
    <row r="568" ht="10.95" customHeight="true" customFormat="true" s="9">
      <c r="A568" s="16">
        <v>45716</v>
      </c>
      <c r="B568" s="17" t="s">
        <v>362</v>
      </c>
      <c r="C568" s="17" t="s">
        <v>332</v>
      </c>
      <c r="D568" s="17" t="s">
        <v>363</v>
      </c>
      <c r="E568" s="17"/>
      <c r="F568" s="17" t="s">
        <v>405</v>
      </c>
      <c r="G568" s="17"/>
      <c r="H568" s="18">
        <v>5.7600</v>
      </c>
      <c r="I568" s="18">
        <v>0</v>
      </c>
      <c r="J568" s="18">
        <f ca="1">((J567 + H568) - I568)</f>
        <v>0</v>
      </c>
      <c r="K568" s="18">
        <v>0</v>
      </c>
      <c r="L568" s="19">
        <v>0</v>
      </c>
      <c r="M568" s="17"/>
    </row>
    <row r="569" ht="10.95" customHeight="true" customFormat="true" s="9">
      <c r="A569" s="16">
        <v>45716</v>
      </c>
      <c r="B569" s="17" t="s">
        <v>362</v>
      </c>
      <c r="C569" s="17" t="s">
        <v>332</v>
      </c>
      <c r="D569" s="17" t="s">
        <v>363</v>
      </c>
      <c r="E569" s="17"/>
      <c r="F569" s="17" t="s">
        <v>406</v>
      </c>
      <c r="G569" s="17"/>
      <c r="H569" s="18">
        <v>24.8500</v>
      </c>
      <c r="I569" s="18">
        <v>0</v>
      </c>
      <c r="J569" s="18">
        <f ca="1">((J568 + H569) - I569)</f>
        <v>0</v>
      </c>
      <c r="K569" s="18">
        <v>0</v>
      </c>
      <c r="L569" s="19">
        <v>0</v>
      </c>
      <c r="M569" s="17"/>
    </row>
    <row r="570" ht="10.95" customHeight="true" customFormat="true" s="9">
      <c r="A570" s="16">
        <v>45716</v>
      </c>
      <c r="B570" s="17" t="s">
        <v>362</v>
      </c>
      <c r="C570" s="17" t="s">
        <v>332</v>
      </c>
      <c r="D570" s="17" t="s">
        <v>363</v>
      </c>
      <c r="E570" s="17"/>
      <c r="F570" s="17" t="s">
        <v>407</v>
      </c>
      <c r="G570" s="17"/>
      <c r="H570" s="18">
        <v>17.2800</v>
      </c>
      <c r="I570" s="18">
        <v>0</v>
      </c>
      <c r="J570" s="18">
        <f ca="1">((J569 + H570) - I570)</f>
        <v>0</v>
      </c>
      <c r="K570" s="18">
        <v>0</v>
      </c>
      <c r="L570" s="19">
        <v>0</v>
      </c>
      <c r="M570" s="17"/>
    </row>
    <row r="571" ht="10.95" customHeight="true" customFormat="true" s="9">
      <c r="A571" s="16">
        <v>45747</v>
      </c>
      <c r="B571" s="17" t="s">
        <v>362</v>
      </c>
      <c r="C571" s="17" t="s">
        <v>332</v>
      </c>
      <c r="D571" s="17" t="s">
        <v>363</v>
      </c>
      <c r="E571" s="17"/>
      <c r="F571" s="17" t="s">
        <v>408</v>
      </c>
      <c r="G571" s="17"/>
      <c r="H571" s="18">
        <v>16.3700</v>
      </c>
      <c r="I571" s="18">
        <v>0</v>
      </c>
      <c r="J571" s="18">
        <f ca="1">((J570 + H571) - I571)</f>
        <v>0</v>
      </c>
      <c r="K571" s="18">
        <v>0</v>
      </c>
      <c r="L571" s="19">
        <v>0</v>
      </c>
      <c r="M571" s="17"/>
    </row>
    <row r="572" ht="10.95" customHeight="true" customFormat="true" s="9">
      <c r="A572" s="16">
        <v>45747</v>
      </c>
      <c r="B572" s="17" t="s">
        <v>362</v>
      </c>
      <c r="C572" s="17" t="s">
        <v>332</v>
      </c>
      <c r="D572" s="17" t="s">
        <v>363</v>
      </c>
      <c r="E572" s="17"/>
      <c r="F572" s="17" t="s">
        <v>409</v>
      </c>
      <c r="G572" s="17"/>
      <c r="H572" s="18">
        <v>6.3800</v>
      </c>
      <c r="I572" s="18">
        <v>0</v>
      </c>
      <c r="J572" s="18">
        <f ca="1">((J571 + H572) - I572)</f>
        <v>0</v>
      </c>
      <c r="K572" s="18">
        <v>0</v>
      </c>
      <c r="L572" s="19">
        <v>0</v>
      </c>
      <c r="M572" s="17"/>
    </row>
    <row r="573" ht="10.95" customHeight="true" customFormat="true" s="9">
      <c r="A573" s="16">
        <v>45747</v>
      </c>
      <c r="B573" s="17" t="s">
        <v>362</v>
      </c>
      <c r="C573" s="17" t="s">
        <v>332</v>
      </c>
      <c r="D573" s="17" t="s">
        <v>363</v>
      </c>
      <c r="E573" s="17"/>
      <c r="F573" s="17" t="s">
        <v>410</v>
      </c>
      <c r="G573" s="17"/>
      <c r="H573" s="18">
        <v>27.5100</v>
      </c>
      <c r="I573" s="18">
        <v>0</v>
      </c>
      <c r="J573" s="18">
        <f ca="1">((J572 + H573) - I573)</f>
        <v>0</v>
      </c>
      <c r="K573" s="18">
        <v>0</v>
      </c>
      <c r="L573" s="19">
        <v>0</v>
      </c>
      <c r="M573" s="17"/>
    </row>
    <row r="574" ht="10.95" customHeight="true" customFormat="true" s="9">
      <c r="A574" s="16">
        <v>45747</v>
      </c>
      <c r="B574" s="17" t="s">
        <v>362</v>
      </c>
      <c r="C574" s="17" t="s">
        <v>332</v>
      </c>
      <c r="D574" s="17" t="s">
        <v>363</v>
      </c>
      <c r="E574" s="17"/>
      <c r="F574" s="17" t="s">
        <v>411</v>
      </c>
      <c r="G574" s="17"/>
      <c r="H574" s="18">
        <v>19.1300</v>
      </c>
      <c r="I574" s="18">
        <v>0</v>
      </c>
      <c r="J574" s="18">
        <f ca="1">((J573 + H574) - I574)</f>
        <v>0</v>
      </c>
      <c r="K574" s="18">
        <v>0</v>
      </c>
      <c r="L574" s="19">
        <v>0</v>
      </c>
      <c r="M574" s="17"/>
    </row>
    <row r="575" ht="10.95" customHeight="true" customFormat="true" s="9">
      <c r="A575" s="20" t="s">
        <v>412</v>
      </c>
      <c r="B575" s="20"/>
      <c r="C575" s="20"/>
      <c r="D575" s="20"/>
      <c r="E575" s="20"/>
      <c r="F575" s="20"/>
      <c r="G575" s="20"/>
      <c r="H575" s="21">
        <f ca="1">SUM(H527:H574)</f>
        <v>0</v>
      </c>
      <c r="I575" s="21">
        <f ca="1">SUM(I527:I574)</f>
        <v>0</v>
      </c>
      <c r="J575" s="21">
        <f ca="1">J574</f>
        <v>0</v>
      </c>
      <c r="K575" s="21">
        <f ca="1">SUM(K527:K574)</f>
        <v>0</v>
      </c>
      <c r="L575" s="20"/>
      <c r="M575" s="20"/>
    </row>
    <row r="576" ht="10.95" customHeight="true" customFormat="true" s="9">
      <c r="A576" s="20" t="s">
        <v>25</v>
      </c>
      <c r="B576" s="20"/>
      <c r="C576" s="20"/>
      <c r="D576" s="20"/>
      <c r="E576" s="20"/>
      <c r="F576" s="20"/>
      <c r="G576" s="20"/>
      <c r="H576" s="21">
        <v>816.8700</v>
      </c>
      <c r="I576" s="21">
        <v>0</v>
      </c>
      <c r="J576" s="21">
        <v>0</v>
      </c>
      <c r="K576" s="21">
        <v>0</v>
      </c>
      <c r="L576" s="20"/>
      <c r="M576" s="20"/>
    </row>
    <row r="577" ht="10.95" customHeight="true" customFormat="true" s="9">
      <c r="A577" s="10" t="s">
        <v>26</v>
      </c>
      <c r="B577" s="10"/>
      <c r="C577" s="10"/>
      <c r="D577" s="10"/>
      <c r="E577" s="10"/>
      <c r="F577" s="10"/>
      <c r="G577" s="10"/>
      <c r="H577" s="11">
        <v>816.8700</v>
      </c>
      <c r="I577" s="11">
        <v>0</v>
      </c>
      <c r="J577" s="11">
        <f ca="1">J574</f>
        <v>0</v>
      </c>
      <c r="K577" s="11">
        <v>0</v>
      </c>
      <c r="L577" s="10"/>
      <c r="M577" s="10"/>
    </row>
    <row r="578" ht="13.35" customHeight="true"/>
    <row r="579" ht="12.1" customHeight="true" customFormat="true" s="5">
      <c r="A579" s="8" t="s">
        <v>413</v>
      </c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</row>
    <row r="580" ht="10.95" customHeight="true" customFormat="true" s="9">
      <c r="A580" s="10" t="s">
        <v>17</v>
      </c>
      <c r="B580" s="10"/>
      <c r="C580" s="10"/>
      <c r="D580" s="10"/>
      <c r="E580" s="10"/>
      <c r="F580" s="10"/>
      <c r="G580" s="10"/>
      <c r="H580" s="11">
        <v>0</v>
      </c>
      <c r="I580" s="11">
        <v>0</v>
      </c>
      <c r="J580" s="11">
        <f ca="1">(H580 - I580)</f>
        <v>0</v>
      </c>
      <c r="K580" s="11">
        <v>0</v>
      </c>
      <c r="L580" s="10"/>
      <c r="M580" s="10"/>
    </row>
    <row r="581" ht="10.95" customHeight="true" customFormat="true" s="9">
      <c r="A581" s="12">
        <v>45747</v>
      </c>
      <c r="B581" s="13" t="s">
        <v>414</v>
      </c>
      <c r="C581" s="13" t="s">
        <v>332</v>
      </c>
      <c r="D581" s="13" t="s">
        <v>415</v>
      </c>
      <c r="E581" s="13" t="s">
        <v>154</v>
      </c>
      <c r="F581" s="13" t="s">
        <v>416</v>
      </c>
      <c r="G581" s="13" t="s">
        <v>417</v>
      </c>
      <c r="H581" s="14">
        <v>12094.4100</v>
      </c>
      <c r="I581" s="14">
        <v>0</v>
      </c>
      <c r="J581" s="14">
        <f ca="1">((J580 + H581) - I581)</f>
        <v>0</v>
      </c>
      <c r="K581" s="14">
        <v>0</v>
      </c>
      <c r="L581" s="15">
        <v>0</v>
      </c>
      <c r="M581" s="13" t="s">
        <v>157</v>
      </c>
    </row>
    <row r="582" ht="10.95" customHeight="true" customFormat="true" s="9">
      <c r="A582" s="16">
        <v>45747</v>
      </c>
      <c r="B582" s="17" t="s">
        <v>414</v>
      </c>
      <c r="C582" s="17" t="s">
        <v>332</v>
      </c>
      <c r="D582" s="17" t="s">
        <v>415</v>
      </c>
      <c r="E582" s="17" t="s">
        <v>154</v>
      </c>
      <c r="F582" s="17" t="s">
        <v>418</v>
      </c>
      <c r="G582" s="17" t="s">
        <v>156</v>
      </c>
      <c r="H582" s="18">
        <v>0</v>
      </c>
      <c r="I582" s="18">
        <v>12094.4100</v>
      </c>
      <c r="J582" s="18">
        <f ca="1">((J581 + H582) - I582)</f>
        <v>0</v>
      </c>
      <c r="K582" s="18">
        <v>0</v>
      </c>
      <c r="L582" s="19">
        <v>0</v>
      </c>
      <c r="M582" s="17" t="s">
        <v>157</v>
      </c>
    </row>
    <row r="583" ht="10.95" customHeight="true" customFormat="true" s="9">
      <c r="A583" s="20" t="s">
        <v>419</v>
      </c>
      <c r="B583" s="20"/>
      <c r="C583" s="20"/>
      <c r="D583" s="20"/>
      <c r="E583" s="20"/>
      <c r="F583" s="20"/>
      <c r="G583" s="20"/>
      <c r="H583" s="21">
        <f ca="1">SUM(H581:H582)</f>
        <v>0</v>
      </c>
      <c r="I583" s="21">
        <f ca="1">SUM(I581:I582)</f>
        <v>0</v>
      </c>
      <c r="J583" s="21">
        <f ca="1">J582</f>
        <v>0</v>
      </c>
      <c r="K583" s="21">
        <f ca="1">SUM(K581:K582)</f>
        <v>0</v>
      </c>
      <c r="L583" s="20"/>
      <c r="M583" s="20"/>
    </row>
    <row r="584" ht="10.95" customHeight="true" customFormat="true" s="9">
      <c r="A584" s="20" t="s">
        <v>25</v>
      </c>
      <c r="B584" s="20"/>
      <c r="C584" s="20"/>
      <c r="D584" s="20"/>
      <c r="E584" s="20"/>
      <c r="F584" s="20"/>
      <c r="G584" s="20"/>
      <c r="H584" s="21">
        <v>0</v>
      </c>
      <c r="I584" s="21">
        <v>0</v>
      </c>
      <c r="J584" s="21">
        <v>0</v>
      </c>
      <c r="K584" s="21">
        <v>0</v>
      </c>
      <c r="L584" s="20"/>
      <c r="M584" s="20"/>
    </row>
    <row r="585" ht="10.95" customHeight="true" customFormat="true" s="9">
      <c r="A585" s="10" t="s">
        <v>26</v>
      </c>
      <c r="B585" s="10"/>
      <c r="C585" s="10"/>
      <c r="D585" s="10"/>
      <c r="E585" s="10"/>
      <c r="F585" s="10"/>
      <c r="G585" s="10"/>
      <c r="H585" s="11">
        <v>0</v>
      </c>
      <c r="I585" s="11">
        <v>0</v>
      </c>
      <c r="J585" s="11">
        <f ca="1">J582</f>
        <v>0</v>
      </c>
      <c r="K585" s="11">
        <v>0</v>
      </c>
      <c r="L585" s="10"/>
      <c r="M585" s="10"/>
    </row>
    <row r="586" ht="13.35" customHeight="true"/>
    <row r="587" ht="12.1" customHeight="true" customFormat="true" s="5">
      <c r="A587" s="8" t="s">
        <v>420</v>
      </c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</row>
    <row r="588" ht="10.95" customHeight="true" customFormat="true" s="9">
      <c r="A588" s="10" t="s">
        <v>17</v>
      </c>
      <c r="B588" s="10"/>
      <c r="C588" s="10"/>
      <c r="D588" s="10"/>
      <c r="E588" s="10"/>
      <c r="F588" s="10"/>
      <c r="G588" s="10"/>
      <c r="H588" s="11">
        <v>0</v>
      </c>
      <c r="I588" s="11">
        <v>0</v>
      </c>
      <c r="J588" s="11">
        <f ca="1">(H588 - I588)</f>
        <v>0</v>
      </c>
      <c r="K588" s="11">
        <v>0</v>
      </c>
      <c r="L588" s="10"/>
      <c r="M588" s="10"/>
    </row>
    <row r="589" ht="10.95" customHeight="true" customFormat="true" s="9">
      <c r="A589" s="12">
        <v>45412</v>
      </c>
      <c r="B589" s="13" t="s">
        <v>421</v>
      </c>
      <c r="C589" s="13" t="s">
        <v>332</v>
      </c>
      <c r="D589" s="13" t="s">
        <v>422</v>
      </c>
      <c r="E589" s="13" t="s">
        <v>154</v>
      </c>
      <c r="F589" s="13" t="s">
        <v>423</v>
      </c>
      <c r="G589" s="13" t="s">
        <v>424</v>
      </c>
      <c r="H589" s="14">
        <v>398.2400</v>
      </c>
      <c r="I589" s="14">
        <v>0</v>
      </c>
      <c r="J589" s="14">
        <f ca="1">((J588 + H589) - I589)</f>
        <v>0</v>
      </c>
      <c r="K589" s="14">
        <v>0</v>
      </c>
      <c r="L589" s="15">
        <v>0</v>
      </c>
      <c r="M589" s="13" t="s">
        <v>157</v>
      </c>
    </row>
    <row r="590" ht="10.95" customHeight="true" customFormat="true" s="9">
      <c r="A590" s="16">
        <v>45443</v>
      </c>
      <c r="B590" s="17" t="s">
        <v>421</v>
      </c>
      <c r="C590" s="17" t="s">
        <v>332</v>
      </c>
      <c r="D590" s="17" t="s">
        <v>422</v>
      </c>
      <c r="E590" s="17" t="s">
        <v>154</v>
      </c>
      <c r="F590" s="17" t="s">
        <v>425</v>
      </c>
      <c r="G590" s="17" t="s">
        <v>426</v>
      </c>
      <c r="H590" s="18">
        <v>411.5200</v>
      </c>
      <c r="I590" s="18">
        <v>0</v>
      </c>
      <c r="J590" s="18">
        <f ca="1">((J589 + H590) - I590)</f>
        <v>0</v>
      </c>
      <c r="K590" s="18">
        <v>0</v>
      </c>
      <c r="L590" s="19">
        <v>0</v>
      </c>
      <c r="M590" s="17" t="s">
        <v>157</v>
      </c>
    </row>
    <row r="591" ht="10.95" customHeight="true" customFormat="true" s="9">
      <c r="A591" s="16">
        <v>45473</v>
      </c>
      <c r="B591" s="17" t="s">
        <v>421</v>
      </c>
      <c r="C591" s="17" t="s">
        <v>332</v>
      </c>
      <c r="D591" s="17" t="s">
        <v>422</v>
      </c>
      <c r="E591" s="17" t="s">
        <v>154</v>
      </c>
      <c r="F591" s="17" t="s">
        <v>427</v>
      </c>
      <c r="G591" s="17" t="s">
        <v>428</v>
      </c>
      <c r="H591" s="18">
        <v>318.6000</v>
      </c>
      <c r="I591" s="18">
        <v>0</v>
      </c>
      <c r="J591" s="18">
        <f ca="1">((J590 + H591) - I591)</f>
        <v>0</v>
      </c>
      <c r="K591" s="18">
        <v>0</v>
      </c>
      <c r="L591" s="19">
        <v>0</v>
      </c>
      <c r="M591" s="17" t="s">
        <v>157</v>
      </c>
    </row>
    <row r="592" ht="10.95" customHeight="true" customFormat="true" s="9">
      <c r="A592" s="16">
        <v>45596</v>
      </c>
      <c r="B592" s="17" t="s">
        <v>421</v>
      </c>
      <c r="C592" s="17" t="s">
        <v>332</v>
      </c>
      <c r="D592" s="17" t="s">
        <v>422</v>
      </c>
      <c r="E592" s="17" t="s">
        <v>339</v>
      </c>
      <c r="F592" s="17" t="s">
        <v>429</v>
      </c>
      <c r="G592" s="17" t="s">
        <v>60</v>
      </c>
      <c r="H592" s="18">
        <v>4415.9500</v>
      </c>
      <c r="I592" s="18">
        <v>0</v>
      </c>
      <c r="J592" s="18">
        <f ca="1">((J591 + H592) - I592)</f>
        <v>0</v>
      </c>
      <c r="K592" s="18">
        <v>441.6000</v>
      </c>
      <c r="L592" s="19">
        <v>10.0000</v>
      </c>
      <c r="M592" s="17" t="s">
        <v>341</v>
      </c>
    </row>
    <row r="593" ht="10.95" customHeight="true" customFormat="true" s="9">
      <c r="A593" s="16">
        <v>45596</v>
      </c>
      <c r="B593" s="17" t="s">
        <v>421</v>
      </c>
      <c r="C593" s="17" t="s">
        <v>332</v>
      </c>
      <c r="D593" s="17" t="s">
        <v>422</v>
      </c>
      <c r="E593" s="17" t="s">
        <v>339</v>
      </c>
      <c r="F593" s="17" t="s">
        <v>430</v>
      </c>
      <c r="G593" s="17" t="s">
        <v>60</v>
      </c>
      <c r="H593" s="18">
        <v>1079.4100</v>
      </c>
      <c r="I593" s="18">
        <v>0</v>
      </c>
      <c r="J593" s="18">
        <f ca="1">((J592 + H593) - I593)</f>
        <v>0</v>
      </c>
      <c r="K593" s="18">
        <v>0</v>
      </c>
      <c r="L593" s="19">
        <v>0</v>
      </c>
      <c r="M593" s="17" t="s">
        <v>431</v>
      </c>
    </row>
    <row r="594" ht="10.95" customHeight="true" customFormat="true" s="9">
      <c r="A594" s="16">
        <v>45747</v>
      </c>
      <c r="B594" s="17" t="s">
        <v>421</v>
      </c>
      <c r="C594" s="17" t="s">
        <v>332</v>
      </c>
      <c r="D594" s="17" t="s">
        <v>422</v>
      </c>
      <c r="E594" s="17" t="s">
        <v>154</v>
      </c>
      <c r="F594" s="17" t="s">
        <v>432</v>
      </c>
      <c r="G594" s="17" t="s">
        <v>156</v>
      </c>
      <c r="H594" s="18">
        <v>0</v>
      </c>
      <c r="I594" s="18">
        <v>1276.2400</v>
      </c>
      <c r="J594" s="18">
        <f ca="1">((J593 + H594) - I594)</f>
        <v>0</v>
      </c>
      <c r="K594" s="18">
        <v>0</v>
      </c>
      <c r="L594" s="19">
        <v>0</v>
      </c>
      <c r="M594" s="17" t="s">
        <v>157</v>
      </c>
    </row>
    <row r="595" ht="10.95" customHeight="true" customFormat="true" s="9">
      <c r="A595" s="20" t="s">
        <v>433</v>
      </c>
      <c r="B595" s="20"/>
      <c r="C595" s="20"/>
      <c r="D595" s="20"/>
      <c r="E595" s="20"/>
      <c r="F595" s="20"/>
      <c r="G595" s="20"/>
      <c r="H595" s="21">
        <f ca="1">SUM(H589:H594)</f>
        <v>0</v>
      </c>
      <c r="I595" s="21">
        <f ca="1">SUM(I589:I594)</f>
        <v>0</v>
      </c>
      <c r="J595" s="21">
        <f ca="1">J594</f>
        <v>0</v>
      </c>
      <c r="K595" s="21">
        <f ca="1">SUM(K589:K594)</f>
        <v>0</v>
      </c>
      <c r="L595" s="20"/>
      <c r="M595" s="20"/>
    </row>
    <row r="596" ht="10.95" customHeight="true" customFormat="true" s="9">
      <c r="A596" s="20" t="s">
        <v>25</v>
      </c>
      <c r="B596" s="20"/>
      <c r="C596" s="20"/>
      <c r="D596" s="20"/>
      <c r="E596" s="20"/>
      <c r="F596" s="20"/>
      <c r="G596" s="20"/>
      <c r="H596" s="21">
        <v>5347.4800</v>
      </c>
      <c r="I596" s="21">
        <v>0</v>
      </c>
      <c r="J596" s="21">
        <v>0</v>
      </c>
      <c r="K596" s="21">
        <v>0</v>
      </c>
      <c r="L596" s="20"/>
      <c r="M596" s="20"/>
    </row>
    <row r="597" ht="10.95" customHeight="true" customFormat="true" s="9">
      <c r="A597" s="10" t="s">
        <v>26</v>
      </c>
      <c r="B597" s="10"/>
      <c r="C597" s="10"/>
      <c r="D597" s="10"/>
      <c r="E597" s="10"/>
      <c r="F597" s="10"/>
      <c r="G597" s="10"/>
      <c r="H597" s="11">
        <v>5347.4800</v>
      </c>
      <c r="I597" s="11">
        <v>0</v>
      </c>
      <c r="J597" s="11">
        <f ca="1">J594</f>
        <v>0</v>
      </c>
      <c r="K597" s="11">
        <v>0</v>
      </c>
      <c r="L597" s="10"/>
      <c r="M597" s="10"/>
    </row>
    <row r="598" ht="13.35" customHeight="true"/>
    <row r="599" ht="12.1" customHeight="true" customFormat="true" s="5">
      <c r="A599" s="8" t="s">
        <v>434</v>
      </c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</row>
    <row r="600" ht="10.95" customHeight="true" customFormat="true" s="9">
      <c r="A600" s="10" t="s">
        <v>17</v>
      </c>
      <c r="B600" s="10"/>
      <c r="C600" s="10"/>
      <c r="D600" s="10"/>
      <c r="E600" s="10"/>
      <c r="F600" s="10"/>
      <c r="G600" s="10"/>
      <c r="H600" s="11">
        <v>0</v>
      </c>
      <c r="I600" s="11">
        <v>0</v>
      </c>
      <c r="J600" s="11">
        <f ca="1">(H600 - I600)</f>
        <v>0</v>
      </c>
      <c r="K600" s="11">
        <v>0</v>
      </c>
      <c r="L600" s="10"/>
      <c r="M600" s="10"/>
    </row>
    <row r="601" ht="21.3" customHeight="true" customFormat="true" s="9">
      <c r="A601" s="12">
        <v>45412</v>
      </c>
      <c r="B601" s="13" t="s">
        <v>435</v>
      </c>
      <c r="C601" s="13" t="s">
        <v>332</v>
      </c>
      <c r="D601" s="13" t="s">
        <v>436</v>
      </c>
      <c r="E601" s="13" t="s">
        <v>339</v>
      </c>
      <c r="F601" s="22" t="s">
        <v>437</v>
      </c>
      <c r="G601" s="13" t="s">
        <v>99</v>
      </c>
      <c r="H601" s="14">
        <v>18464.2900</v>
      </c>
      <c r="I601" s="14">
        <v>0</v>
      </c>
      <c r="J601" s="14">
        <f ca="1">((J600 + H601) - I601)</f>
        <v>0</v>
      </c>
      <c r="K601" s="14">
        <v>0</v>
      </c>
      <c r="L601" s="15">
        <v>0</v>
      </c>
      <c r="M601" s="13" t="s">
        <v>431</v>
      </c>
    </row>
    <row r="602" ht="21.3" customHeight="true" customFormat="true" s="9">
      <c r="A602" s="16">
        <v>45443</v>
      </c>
      <c r="B602" s="17" t="s">
        <v>435</v>
      </c>
      <c r="C602" s="17" t="s">
        <v>332</v>
      </c>
      <c r="D602" s="17" t="s">
        <v>436</v>
      </c>
      <c r="E602" s="17" t="s">
        <v>339</v>
      </c>
      <c r="F602" s="23" t="s">
        <v>438</v>
      </c>
      <c r="G602" s="17" t="s">
        <v>132</v>
      </c>
      <c r="H602" s="18">
        <v>17999.7500</v>
      </c>
      <c r="I602" s="18">
        <v>0</v>
      </c>
      <c r="J602" s="18">
        <f ca="1">((J601 + H602) - I602)</f>
        <v>0</v>
      </c>
      <c r="K602" s="18">
        <v>0</v>
      </c>
      <c r="L602" s="19">
        <v>0</v>
      </c>
      <c r="M602" s="17" t="s">
        <v>431</v>
      </c>
    </row>
    <row r="603" ht="10.95" customHeight="true" customFormat="true" s="9">
      <c r="A603" s="16">
        <v>45473</v>
      </c>
      <c r="B603" s="17" t="s">
        <v>435</v>
      </c>
      <c r="C603" s="17" t="s">
        <v>332</v>
      </c>
      <c r="D603" s="17" t="s">
        <v>436</v>
      </c>
      <c r="E603" s="17" t="s">
        <v>339</v>
      </c>
      <c r="F603" s="17" t="s">
        <v>439</v>
      </c>
      <c r="G603" s="17" t="s">
        <v>135</v>
      </c>
      <c r="H603" s="18">
        <v>18064.1300</v>
      </c>
      <c r="I603" s="18">
        <v>0</v>
      </c>
      <c r="J603" s="18">
        <f ca="1">((J602 + H603) - I603)</f>
        <v>0</v>
      </c>
      <c r="K603" s="18">
        <v>0</v>
      </c>
      <c r="L603" s="19">
        <v>0</v>
      </c>
      <c r="M603" s="17" t="s">
        <v>431</v>
      </c>
    </row>
    <row r="604" ht="10.95" customHeight="true" customFormat="true" s="9">
      <c r="A604" s="16">
        <v>45504</v>
      </c>
      <c r="B604" s="17" t="s">
        <v>435</v>
      </c>
      <c r="C604" s="17" t="s">
        <v>332</v>
      </c>
      <c r="D604" s="17" t="s">
        <v>436</v>
      </c>
      <c r="E604" s="17" t="s">
        <v>339</v>
      </c>
      <c r="F604" s="17" t="s">
        <v>439</v>
      </c>
      <c r="G604" s="17" t="s">
        <v>131</v>
      </c>
      <c r="H604" s="18">
        <v>18391.0900</v>
      </c>
      <c r="I604" s="18">
        <v>0</v>
      </c>
      <c r="J604" s="18">
        <f ca="1">((J603 + H604) - I604)</f>
        <v>0</v>
      </c>
      <c r="K604" s="18">
        <v>0</v>
      </c>
      <c r="L604" s="19">
        <v>0</v>
      </c>
      <c r="M604" s="17" t="s">
        <v>431</v>
      </c>
    </row>
    <row r="605" ht="10.95" customHeight="true" customFormat="true" s="9">
      <c r="A605" s="16">
        <v>45535</v>
      </c>
      <c r="B605" s="17" t="s">
        <v>435</v>
      </c>
      <c r="C605" s="17" t="s">
        <v>332</v>
      </c>
      <c r="D605" s="17" t="s">
        <v>436</v>
      </c>
      <c r="E605" s="17" t="s">
        <v>339</v>
      </c>
      <c r="F605" s="17" t="s">
        <v>440</v>
      </c>
      <c r="G605" s="17" t="s">
        <v>441</v>
      </c>
      <c r="H605" s="18">
        <v>17738.6500</v>
      </c>
      <c r="I605" s="18">
        <v>0</v>
      </c>
      <c r="J605" s="18">
        <f ca="1">((J604 + H605) - I605)</f>
        <v>0</v>
      </c>
      <c r="K605" s="18">
        <v>0</v>
      </c>
      <c r="L605" s="19">
        <v>0</v>
      </c>
      <c r="M605" s="17" t="s">
        <v>431</v>
      </c>
    </row>
    <row r="606" ht="10.95" customHeight="true" customFormat="true" s="9">
      <c r="A606" s="16">
        <v>45565</v>
      </c>
      <c r="B606" s="17" t="s">
        <v>435</v>
      </c>
      <c r="C606" s="17" t="s">
        <v>332</v>
      </c>
      <c r="D606" s="17" t="s">
        <v>436</v>
      </c>
      <c r="E606" s="17" t="s">
        <v>154</v>
      </c>
      <c r="F606" s="17" t="s">
        <v>442</v>
      </c>
      <c r="G606" s="17" t="s">
        <v>168</v>
      </c>
      <c r="H606" s="18">
        <v>0</v>
      </c>
      <c r="I606" s="18">
        <v>0.0900</v>
      </c>
      <c r="J606" s="18">
        <f ca="1">((J605 + H606) - I606)</f>
        <v>0</v>
      </c>
      <c r="K606" s="18">
        <v>0</v>
      </c>
      <c r="L606" s="19">
        <v>0</v>
      </c>
      <c r="M606" s="17" t="s">
        <v>157</v>
      </c>
    </row>
    <row r="607" ht="10.95" customHeight="true" customFormat="true" s="9">
      <c r="A607" s="16">
        <v>45565</v>
      </c>
      <c r="B607" s="17" t="s">
        <v>435</v>
      </c>
      <c r="C607" s="17" t="s">
        <v>332</v>
      </c>
      <c r="D607" s="17" t="s">
        <v>436</v>
      </c>
      <c r="E607" s="17" t="s">
        <v>339</v>
      </c>
      <c r="F607" s="17" t="s">
        <v>440</v>
      </c>
      <c r="G607" s="17" t="s">
        <v>443</v>
      </c>
      <c r="H607" s="18">
        <v>17319.9700</v>
      </c>
      <c r="I607" s="18">
        <v>0</v>
      </c>
      <c r="J607" s="18">
        <f ca="1">((J606 + H607) - I607)</f>
        <v>0</v>
      </c>
      <c r="K607" s="18">
        <v>0</v>
      </c>
      <c r="L607" s="19">
        <v>0</v>
      </c>
      <c r="M607" s="17" t="s">
        <v>431</v>
      </c>
    </row>
    <row r="608" ht="10.95" customHeight="true" customFormat="true" s="9">
      <c r="A608" s="16">
        <v>45596</v>
      </c>
      <c r="B608" s="17" t="s">
        <v>435</v>
      </c>
      <c r="C608" s="17" t="s">
        <v>332</v>
      </c>
      <c r="D608" s="17" t="s">
        <v>436</v>
      </c>
      <c r="E608" s="17" t="s">
        <v>339</v>
      </c>
      <c r="F608" s="17" t="s">
        <v>440</v>
      </c>
      <c r="G608" s="17" t="s">
        <v>444</v>
      </c>
      <c r="H608" s="18">
        <v>18261.8400</v>
      </c>
      <c r="I608" s="18">
        <v>0</v>
      </c>
      <c r="J608" s="18">
        <f ca="1">((J607 + H608) - I608)</f>
        <v>0</v>
      </c>
      <c r="K608" s="18">
        <v>0</v>
      </c>
      <c r="L608" s="19">
        <v>0</v>
      </c>
      <c r="M608" s="17" t="s">
        <v>431</v>
      </c>
    </row>
    <row r="609" ht="10.95" customHeight="true" customFormat="true" s="9">
      <c r="A609" s="16">
        <v>45626</v>
      </c>
      <c r="B609" s="17" t="s">
        <v>435</v>
      </c>
      <c r="C609" s="17" t="s">
        <v>332</v>
      </c>
      <c r="D609" s="17" t="s">
        <v>436</v>
      </c>
      <c r="E609" s="17" t="s">
        <v>339</v>
      </c>
      <c r="F609" s="17" t="s">
        <v>445</v>
      </c>
      <c r="G609" s="17" t="s">
        <v>446</v>
      </c>
      <c r="H609" s="18">
        <v>18430.0900</v>
      </c>
      <c r="I609" s="18">
        <v>0</v>
      </c>
      <c r="J609" s="18">
        <f ca="1">((J608 + H609) - I609)</f>
        <v>0</v>
      </c>
      <c r="K609" s="18">
        <v>0</v>
      </c>
      <c r="L609" s="19">
        <v>0</v>
      </c>
      <c r="M609" s="17" t="s">
        <v>431</v>
      </c>
    </row>
    <row r="610" ht="10.95" customHeight="true" customFormat="true" s="9">
      <c r="A610" s="16">
        <v>45657</v>
      </c>
      <c r="B610" s="17" t="s">
        <v>435</v>
      </c>
      <c r="C610" s="17" t="s">
        <v>332</v>
      </c>
      <c r="D610" s="17" t="s">
        <v>436</v>
      </c>
      <c r="E610" s="17" t="s">
        <v>339</v>
      </c>
      <c r="F610" s="17" t="s">
        <v>445</v>
      </c>
      <c r="G610" s="17" t="s">
        <v>447</v>
      </c>
      <c r="H610" s="18">
        <v>19320.4700</v>
      </c>
      <c r="I610" s="18">
        <v>0</v>
      </c>
      <c r="J610" s="18">
        <f ca="1">((J609 + H610) - I610)</f>
        <v>0</v>
      </c>
      <c r="K610" s="18">
        <v>0</v>
      </c>
      <c r="L610" s="19">
        <v>0</v>
      </c>
      <c r="M610" s="17" t="s">
        <v>431</v>
      </c>
    </row>
    <row r="611" ht="10.95" customHeight="true" customFormat="true" s="9">
      <c r="A611" s="16">
        <v>45688</v>
      </c>
      <c r="B611" s="17" t="s">
        <v>435</v>
      </c>
      <c r="C611" s="17" t="s">
        <v>332</v>
      </c>
      <c r="D611" s="17" t="s">
        <v>436</v>
      </c>
      <c r="E611" s="17" t="s">
        <v>339</v>
      </c>
      <c r="F611" s="17" t="s">
        <v>445</v>
      </c>
      <c r="G611" s="17" t="s">
        <v>448</v>
      </c>
      <c r="H611" s="18">
        <v>19314.9600</v>
      </c>
      <c r="I611" s="18">
        <v>0</v>
      </c>
      <c r="J611" s="18">
        <f ca="1">((J610 + H611) - I611)</f>
        <v>0</v>
      </c>
      <c r="K611" s="18">
        <v>0</v>
      </c>
      <c r="L611" s="19">
        <v>0</v>
      </c>
      <c r="M611" s="17" t="s">
        <v>431</v>
      </c>
    </row>
    <row r="612" ht="10.95" customHeight="true" customFormat="true" s="9">
      <c r="A612" s="16">
        <v>45716</v>
      </c>
      <c r="B612" s="17" t="s">
        <v>435</v>
      </c>
      <c r="C612" s="17" t="s">
        <v>332</v>
      </c>
      <c r="D612" s="17" t="s">
        <v>436</v>
      </c>
      <c r="E612" s="17" t="s">
        <v>339</v>
      </c>
      <c r="F612" s="17" t="s">
        <v>445</v>
      </c>
      <c r="G612" s="17" t="s">
        <v>449</v>
      </c>
      <c r="H612" s="18">
        <v>19298.6500</v>
      </c>
      <c r="I612" s="18">
        <v>0</v>
      </c>
      <c r="J612" s="18">
        <f ca="1">((J611 + H612) - I612)</f>
        <v>0</v>
      </c>
      <c r="K612" s="18">
        <v>0</v>
      </c>
      <c r="L612" s="19">
        <v>0</v>
      </c>
      <c r="M612" s="17" t="s">
        <v>431</v>
      </c>
    </row>
    <row r="613" ht="10.95" customHeight="true" customFormat="true" s="9">
      <c r="A613" s="16">
        <v>45747</v>
      </c>
      <c r="B613" s="17" t="s">
        <v>435</v>
      </c>
      <c r="C613" s="17" t="s">
        <v>332</v>
      </c>
      <c r="D613" s="17" t="s">
        <v>436</v>
      </c>
      <c r="E613" s="17" t="s">
        <v>339</v>
      </c>
      <c r="F613" s="17" t="s">
        <v>445</v>
      </c>
      <c r="G613" s="17" t="s">
        <v>450</v>
      </c>
      <c r="H613" s="18">
        <v>19200.0000</v>
      </c>
      <c r="I613" s="18">
        <v>0</v>
      </c>
      <c r="J613" s="18">
        <f ca="1">((J612 + H613) - I613)</f>
        <v>0</v>
      </c>
      <c r="K613" s="18">
        <v>0</v>
      </c>
      <c r="L613" s="19">
        <v>0</v>
      </c>
      <c r="M613" s="17" t="s">
        <v>431</v>
      </c>
    </row>
    <row r="614" ht="10.95" customHeight="true" customFormat="true" s="9">
      <c r="A614" s="20" t="s">
        <v>451</v>
      </c>
      <c r="B614" s="20"/>
      <c r="C614" s="20"/>
      <c r="D614" s="20"/>
      <c r="E614" s="20"/>
      <c r="F614" s="20"/>
      <c r="G614" s="20"/>
      <c r="H614" s="21">
        <f ca="1">SUM(H601:H613)</f>
        <v>0</v>
      </c>
      <c r="I614" s="21">
        <f ca="1">SUM(I601:I613)</f>
        <v>0</v>
      </c>
      <c r="J614" s="21">
        <f ca="1">J613</f>
        <v>0</v>
      </c>
      <c r="K614" s="21">
        <f ca="1">SUM(K601:K613)</f>
        <v>0</v>
      </c>
      <c r="L614" s="20"/>
      <c r="M614" s="20"/>
    </row>
    <row r="615" ht="10.95" customHeight="true" customFormat="true" s="9">
      <c r="A615" s="20" t="s">
        <v>25</v>
      </c>
      <c r="B615" s="20"/>
      <c r="C615" s="20"/>
      <c r="D615" s="20"/>
      <c r="E615" s="20"/>
      <c r="F615" s="20"/>
      <c r="G615" s="20"/>
      <c r="H615" s="21">
        <v>221803.8000</v>
      </c>
      <c r="I615" s="21">
        <v>0</v>
      </c>
      <c r="J615" s="21">
        <v>0</v>
      </c>
      <c r="K615" s="21">
        <v>0</v>
      </c>
      <c r="L615" s="20"/>
      <c r="M615" s="20"/>
    </row>
    <row r="616" ht="10.95" customHeight="true" customFormat="true" s="9">
      <c r="A616" s="10" t="s">
        <v>26</v>
      </c>
      <c r="B616" s="10"/>
      <c r="C616" s="10"/>
      <c r="D616" s="10"/>
      <c r="E616" s="10"/>
      <c r="F616" s="10"/>
      <c r="G616" s="10"/>
      <c r="H616" s="11">
        <v>221803.8000</v>
      </c>
      <c r="I616" s="11">
        <v>0</v>
      </c>
      <c r="J616" s="11">
        <f ca="1">J613</f>
        <v>0</v>
      </c>
      <c r="K616" s="11">
        <v>0</v>
      </c>
      <c r="L616" s="10"/>
      <c r="M616" s="10"/>
    </row>
    <row r="617" ht="13.35" customHeight="true"/>
    <row r="618" ht="12.1" customHeight="true" customFormat="true" s="5">
      <c r="A618" s="8" t="s">
        <v>452</v>
      </c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</row>
    <row r="619" ht="10.95" customHeight="true" customFormat="true" s="9">
      <c r="A619" s="10" t="s">
        <v>17</v>
      </c>
      <c r="B619" s="10"/>
      <c r="C619" s="10"/>
      <c r="D619" s="10"/>
      <c r="E619" s="10"/>
      <c r="F619" s="10"/>
      <c r="G619" s="10"/>
      <c r="H619" s="11">
        <v>0</v>
      </c>
      <c r="I619" s="11">
        <v>0</v>
      </c>
      <c r="J619" s="11">
        <f ca="1">(H619 - I619)</f>
        <v>0</v>
      </c>
      <c r="K619" s="11">
        <v>0</v>
      </c>
      <c r="L619" s="10"/>
      <c r="M619" s="10"/>
    </row>
    <row r="620" ht="31.65" customHeight="true" customFormat="true" s="9">
      <c r="A620" s="12">
        <v>45415</v>
      </c>
      <c r="B620" s="13" t="s">
        <v>453</v>
      </c>
      <c r="C620" s="13" t="s">
        <v>332</v>
      </c>
      <c r="D620" s="13" t="s">
        <v>454</v>
      </c>
      <c r="E620" s="13" t="s">
        <v>339</v>
      </c>
      <c r="F620" s="22" t="s">
        <v>455</v>
      </c>
      <c r="G620" s="13"/>
      <c r="H620" s="14">
        <v>310.0000</v>
      </c>
      <c r="I620" s="14">
        <v>0</v>
      </c>
      <c r="J620" s="14">
        <f ca="1">((J619 + H620) - I620)</f>
        <v>0</v>
      </c>
      <c r="K620" s="14">
        <v>0</v>
      </c>
      <c r="L620" s="15">
        <v>0</v>
      </c>
      <c r="M620" s="13" t="s">
        <v>431</v>
      </c>
    </row>
    <row r="621" ht="10.95" customHeight="true" customFormat="true" s="9">
      <c r="A621" s="20" t="s">
        <v>456</v>
      </c>
      <c r="B621" s="20"/>
      <c r="C621" s="20"/>
      <c r="D621" s="20"/>
      <c r="E621" s="20"/>
      <c r="F621" s="20"/>
      <c r="G621" s="20"/>
      <c r="H621" s="21">
        <f ca="1">H620</f>
        <v>0</v>
      </c>
      <c r="I621" s="21">
        <f ca="1">I620</f>
        <v>0</v>
      </c>
      <c r="J621" s="21">
        <f ca="1">J620</f>
        <v>0</v>
      </c>
      <c r="K621" s="21">
        <f ca="1">K620</f>
        <v>0</v>
      </c>
      <c r="L621" s="20"/>
      <c r="M621" s="20"/>
    </row>
    <row r="622" ht="10.95" customHeight="true" customFormat="true" s="9">
      <c r="A622" s="20" t="s">
        <v>25</v>
      </c>
      <c r="B622" s="20"/>
      <c r="C622" s="20"/>
      <c r="D622" s="20"/>
      <c r="E622" s="20"/>
      <c r="F622" s="20"/>
      <c r="G622" s="20"/>
      <c r="H622" s="21">
        <v>310.0000</v>
      </c>
      <c r="I622" s="21">
        <v>0</v>
      </c>
      <c r="J622" s="21">
        <v>0</v>
      </c>
      <c r="K622" s="21">
        <v>0</v>
      </c>
      <c r="L622" s="20"/>
      <c r="M622" s="20"/>
    </row>
    <row r="623" ht="10.95" customHeight="true" customFormat="true" s="9">
      <c r="A623" s="10" t="s">
        <v>26</v>
      </c>
      <c r="B623" s="10"/>
      <c r="C623" s="10"/>
      <c r="D623" s="10"/>
      <c r="E623" s="10"/>
      <c r="F623" s="10"/>
      <c r="G623" s="10"/>
      <c r="H623" s="11">
        <v>310.0000</v>
      </c>
      <c r="I623" s="11">
        <v>0</v>
      </c>
      <c r="J623" s="11">
        <f ca="1">J620</f>
        <v>0</v>
      </c>
      <c r="K623" s="11">
        <v>0</v>
      </c>
      <c r="L623" s="10"/>
      <c r="M623" s="10"/>
    </row>
    <row r="624" ht="13.35" customHeight="true"/>
    <row r="625" ht="12.1" customHeight="true" customFormat="true" s="5">
      <c r="A625" s="8" t="s">
        <v>457</v>
      </c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</row>
    <row r="626" ht="10.95" customHeight="true" customFormat="true" s="9">
      <c r="A626" s="10" t="s">
        <v>17</v>
      </c>
      <c r="B626" s="10"/>
      <c r="C626" s="10"/>
      <c r="D626" s="10"/>
      <c r="E626" s="10"/>
      <c r="F626" s="10"/>
      <c r="G626" s="10"/>
      <c r="H626" s="11">
        <v>0</v>
      </c>
      <c r="I626" s="11">
        <v>0</v>
      </c>
      <c r="J626" s="11">
        <f ca="1">(H626 - I626)</f>
        <v>0</v>
      </c>
      <c r="K626" s="11">
        <v>0</v>
      </c>
      <c r="L626" s="10"/>
      <c r="M626" s="10"/>
    </row>
    <row r="627" ht="10.95" customHeight="true" customFormat="true" s="9">
      <c r="A627" s="12">
        <v>45747</v>
      </c>
      <c r="B627" s="13" t="s">
        <v>458</v>
      </c>
      <c r="C627" s="13" t="s">
        <v>332</v>
      </c>
      <c r="D627" s="13" t="s">
        <v>459</v>
      </c>
      <c r="E627" s="13" t="s">
        <v>154</v>
      </c>
      <c r="F627" s="13" t="s">
        <v>460</v>
      </c>
      <c r="G627" s="13" t="s">
        <v>417</v>
      </c>
      <c r="H627" s="14">
        <v>20000.0000</v>
      </c>
      <c r="I627" s="14">
        <v>0</v>
      </c>
      <c r="J627" s="14">
        <f ca="1">((J626 + H627) - I627)</f>
        <v>0</v>
      </c>
      <c r="K627" s="14">
        <v>0</v>
      </c>
      <c r="L627" s="15">
        <v>0</v>
      </c>
      <c r="M627" s="13" t="s">
        <v>157</v>
      </c>
    </row>
    <row r="628" ht="10.95" customHeight="true" customFormat="true" s="9">
      <c r="A628" s="20" t="s">
        <v>461</v>
      </c>
      <c r="B628" s="20"/>
      <c r="C628" s="20"/>
      <c r="D628" s="20"/>
      <c r="E628" s="20"/>
      <c r="F628" s="20"/>
      <c r="G628" s="20"/>
      <c r="H628" s="21">
        <f ca="1">H627</f>
        <v>0</v>
      </c>
      <c r="I628" s="21">
        <f ca="1">I627</f>
        <v>0</v>
      </c>
      <c r="J628" s="21">
        <f ca="1">J627</f>
        <v>0</v>
      </c>
      <c r="K628" s="21">
        <f ca="1">K627</f>
        <v>0</v>
      </c>
      <c r="L628" s="20"/>
      <c r="M628" s="20"/>
    </row>
    <row r="629" ht="10.95" customHeight="true" customFormat="true" s="9">
      <c r="A629" s="20" t="s">
        <v>25</v>
      </c>
      <c r="B629" s="20"/>
      <c r="C629" s="20"/>
      <c r="D629" s="20"/>
      <c r="E629" s="20"/>
      <c r="F629" s="20"/>
      <c r="G629" s="20"/>
      <c r="H629" s="21">
        <v>20000.0000</v>
      </c>
      <c r="I629" s="21">
        <v>0</v>
      </c>
      <c r="J629" s="21">
        <v>0</v>
      </c>
      <c r="K629" s="21">
        <v>0</v>
      </c>
      <c r="L629" s="20"/>
      <c r="M629" s="20"/>
    </row>
    <row r="630" ht="10.95" customHeight="true" customFormat="true" s="9">
      <c r="A630" s="10" t="s">
        <v>26</v>
      </c>
      <c r="B630" s="10"/>
      <c r="C630" s="10"/>
      <c r="D630" s="10"/>
      <c r="E630" s="10"/>
      <c r="F630" s="10"/>
      <c r="G630" s="10"/>
      <c r="H630" s="11">
        <v>20000.0000</v>
      </c>
      <c r="I630" s="11">
        <v>0</v>
      </c>
      <c r="J630" s="11">
        <f ca="1">J627</f>
        <v>0</v>
      </c>
      <c r="K630" s="11">
        <v>0</v>
      </c>
      <c r="L630" s="10"/>
      <c r="M630" s="10"/>
    </row>
    <row r="631" ht="13.35" customHeight="true"/>
    <row r="632" ht="12.1" customHeight="true" customFormat="true" s="5">
      <c r="A632" s="8" t="s">
        <v>462</v>
      </c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</row>
    <row r="633" ht="10.95" customHeight="true" customFormat="true" s="9">
      <c r="A633" s="10" t="s">
        <v>17</v>
      </c>
      <c r="B633" s="10"/>
      <c r="C633" s="10"/>
      <c r="D633" s="10"/>
      <c r="E633" s="10"/>
      <c r="F633" s="10"/>
      <c r="G633" s="10"/>
      <c r="H633" s="11">
        <v>0</v>
      </c>
      <c r="I633" s="11">
        <v>0</v>
      </c>
      <c r="J633" s="11">
        <f ca="1">(H633 - I633)</f>
        <v>0</v>
      </c>
      <c r="K633" s="11">
        <v>0</v>
      </c>
      <c r="L633" s="10"/>
      <c r="M633" s="10"/>
    </row>
    <row r="634" ht="10.95" customHeight="true" customFormat="true" s="9">
      <c r="A634" s="12">
        <v>45409</v>
      </c>
      <c r="B634" s="13" t="s">
        <v>463</v>
      </c>
      <c r="C634" s="13" t="s">
        <v>332</v>
      </c>
      <c r="D634" s="13" t="s">
        <v>464</v>
      </c>
      <c r="E634" s="13" t="s">
        <v>465</v>
      </c>
      <c r="F634" s="13" t="s">
        <v>466</v>
      </c>
      <c r="G634" s="13" t="s">
        <v>467</v>
      </c>
      <c r="H634" s="14">
        <v>29005.9900</v>
      </c>
      <c r="I634" s="14">
        <v>0</v>
      </c>
      <c r="J634" s="14">
        <f ca="1">((J633 + H634) - I634)</f>
        <v>0</v>
      </c>
      <c r="K634" s="14">
        <v>0</v>
      </c>
      <c r="L634" s="15">
        <v>0</v>
      </c>
      <c r="M634" s="13" t="s">
        <v>157</v>
      </c>
    </row>
    <row r="635" ht="10.95" customHeight="true" customFormat="true" s="9">
      <c r="A635" s="16">
        <v>45440</v>
      </c>
      <c r="B635" s="17" t="s">
        <v>463</v>
      </c>
      <c r="C635" s="17" t="s">
        <v>332</v>
      </c>
      <c r="D635" s="17" t="s">
        <v>464</v>
      </c>
      <c r="E635" s="17" t="s">
        <v>465</v>
      </c>
      <c r="F635" s="17" t="s">
        <v>466</v>
      </c>
      <c r="G635" s="17" t="s">
        <v>468</v>
      </c>
      <c r="H635" s="18">
        <v>29006.0000</v>
      </c>
      <c r="I635" s="18">
        <v>0</v>
      </c>
      <c r="J635" s="18">
        <f ca="1">((J634 + H635) - I635)</f>
        <v>0</v>
      </c>
      <c r="K635" s="18">
        <v>0</v>
      </c>
      <c r="L635" s="19">
        <v>0</v>
      </c>
      <c r="M635" s="17" t="s">
        <v>157</v>
      </c>
    </row>
    <row r="636" ht="10.95" customHeight="true" customFormat="true" s="9">
      <c r="A636" s="16">
        <v>45470</v>
      </c>
      <c r="B636" s="17" t="s">
        <v>463</v>
      </c>
      <c r="C636" s="17" t="s">
        <v>332</v>
      </c>
      <c r="D636" s="17" t="s">
        <v>464</v>
      </c>
      <c r="E636" s="17" t="s">
        <v>465</v>
      </c>
      <c r="F636" s="17" t="s">
        <v>466</v>
      </c>
      <c r="G636" s="17" t="s">
        <v>469</v>
      </c>
      <c r="H636" s="18">
        <v>30928.3600</v>
      </c>
      <c r="I636" s="18">
        <v>0</v>
      </c>
      <c r="J636" s="18">
        <f ca="1">((J635 + H636) - I636)</f>
        <v>0</v>
      </c>
      <c r="K636" s="18">
        <v>0</v>
      </c>
      <c r="L636" s="19">
        <v>0</v>
      </c>
      <c r="M636" s="17" t="s">
        <v>157</v>
      </c>
    </row>
    <row r="637" ht="10.95" customHeight="true" customFormat="true" s="9">
      <c r="A637" s="16">
        <v>45501</v>
      </c>
      <c r="B637" s="17" t="s">
        <v>463</v>
      </c>
      <c r="C637" s="17" t="s">
        <v>332</v>
      </c>
      <c r="D637" s="17" t="s">
        <v>464</v>
      </c>
      <c r="E637" s="17" t="s">
        <v>465</v>
      </c>
      <c r="F637" s="17" t="s">
        <v>466</v>
      </c>
      <c r="G637" s="17" t="s">
        <v>470</v>
      </c>
      <c r="H637" s="18">
        <v>29006.0000</v>
      </c>
      <c r="I637" s="18">
        <v>0</v>
      </c>
      <c r="J637" s="18">
        <f ca="1">((J636 + H637) - I637)</f>
        <v>0</v>
      </c>
      <c r="K637" s="18">
        <v>0</v>
      </c>
      <c r="L637" s="19">
        <v>0</v>
      </c>
      <c r="M637" s="17" t="s">
        <v>157</v>
      </c>
    </row>
    <row r="638" ht="10.95" customHeight="true" customFormat="true" s="9">
      <c r="A638" s="16">
        <v>45532</v>
      </c>
      <c r="B638" s="17" t="s">
        <v>463</v>
      </c>
      <c r="C638" s="17" t="s">
        <v>332</v>
      </c>
      <c r="D638" s="17" t="s">
        <v>464</v>
      </c>
      <c r="E638" s="17" t="s">
        <v>465</v>
      </c>
      <c r="F638" s="17" t="s">
        <v>466</v>
      </c>
      <c r="G638" s="17" t="s">
        <v>471</v>
      </c>
      <c r="H638" s="18">
        <v>29006.0000</v>
      </c>
      <c r="I638" s="18">
        <v>0</v>
      </c>
      <c r="J638" s="18">
        <f ca="1">((J637 + H638) - I638)</f>
        <v>0</v>
      </c>
      <c r="K638" s="18">
        <v>0</v>
      </c>
      <c r="L638" s="19">
        <v>0</v>
      </c>
      <c r="M638" s="17" t="s">
        <v>157</v>
      </c>
    </row>
    <row r="639" ht="10.95" customHeight="true" customFormat="true" s="9">
      <c r="A639" s="16">
        <v>45562</v>
      </c>
      <c r="B639" s="17" t="s">
        <v>463</v>
      </c>
      <c r="C639" s="17" t="s">
        <v>332</v>
      </c>
      <c r="D639" s="17" t="s">
        <v>464</v>
      </c>
      <c r="E639" s="17" t="s">
        <v>465</v>
      </c>
      <c r="F639" s="17" t="s">
        <v>466</v>
      </c>
      <c r="G639" s="17" t="s">
        <v>472</v>
      </c>
      <c r="H639" s="18">
        <v>29006.0000</v>
      </c>
      <c r="I639" s="18">
        <v>0</v>
      </c>
      <c r="J639" s="18">
        <f ca="1">((J638 + H639) - I639)</f>
        <v>0</v>
      </c>
      <c r="K639" s="18">
        <v>0</v>
      </c>
      <c r="L639" s="19">
        <v>0</v>
      </c>
      <c r="M639" s="17" t="s">
        <v>157</v>
      </c>
    </row>
    <row r="640" ht="10.95" customHeight="true" customFormat="true" s="9">
      <c r="A640" s="16">
        <v>45593</v>
      </c>
      <c r="B640" s="17" t="s">
        <v>463</v>
      </c>
      <c r="C640" s="17" t="s">
        <v>332</v>
      </c>
      <c r="D640" s="17" t="s">
        <v>464</v>
      </c>
      <c r="E640" s="17" t="s">
        <v>465</v>
      </c>
      <c r="F640" s="17" t="s">
        <v>466</v>
      </c>
      <c r="G640" s="17" t="s">
        <v>473</v>
      </c>
      <c r="H640" s="18">
        <v>57656.2500</v>
      </c>
      <c r="I640" s="18">
        <v>0</v>
      </c>
      <c r="J640" s="18">
        <f ca="1">((J639 + H640) - I640)</f>
        <v>0</v>
      </c>
      <c r="K640" s="18">
        <v>0</v>
      </c>
      <c r="L640" s="19">
        <v>0</v>
      </c>
      <c r="M640" s="17" t="s">
        <v>157</v>
      </c>
    </row>
    <row r="641" ht="10.95" customHeight="true" customFormat="true" s="9">
      <c r="A641" s="16">
        <v>45623</v>
      </c>
      <c r="B641" s="17" t="s">
        <v>463</v>
      </c>
      <c r="C641" s="17" t="s">
        <v>332</v>
      </c>
      <c r="D641" s="17" t="s">
        <v>464</v>
      </c>
      <c r="E641" s="17" t="s">
        <v>465</v>
      </c>
      <c r="F641" s="17" t="s">
        <v>466</v>
      </c>
      <c r="G641" s="17" t="s">
        <v>474</v>
      </c>
      <c r="H641" s="18">
        <v>29767.2600</v>
      </c>
      <c r="I641" s="18">
        <v>0</v>
      </c>
      <c r="J641" s="18">
        <f ca="1">((J640 + H641) - I641)</f>
        <v>0</v>
      </c>
      <c r="K641" s="18">
        <v>0</v>
      </c>
      <c r="L641" s="19">
        <v>0</v>
      </c>
      <c r="M641" s="17" t="s">
        <v>157</v>
      </c>
    </row>
    <row r="642" ht="10.95" customHeight="true" customFormat="true" s="9">
      <c r="A642" s="16">
        <v>45654</v>
      </c>
      <c r="B642" s="17" t="s">
        <v>463</v>
      </c>
      <c r="C642" s="17" t="s">
        <v>332</v>
      </c>
      <c r="D642" s="17" t="s">
        <v>464</v>
      </c>
      <c r="E642" s="17" t="s">
        <v>465</v>
      </c>
      <c r="F642" s="17" t="s">
        <v>466</v>
      </c>
      <c r="G642" s="17" t="s">
        <v>475</v>
      </c>
      <c r="H642" s="18">
        <v>31520.4300</v>
      </c>
      <c r="I642" s="18">
        <v>0</v>
      </c>
      <c r="J642" s="18">
        <f ca="1">((J641 + H642) - I642)</f>
        <v>0</v>
      </c>
      <c r="K642" s="18">
        <v>0</v>
      </c>
      <c r="L642" s="19">
        <v>0</v>
      </c>
      <c r="M642" s="17" t="s">
        <v>157</v>
      </c>
    </row>
    <row r="643" ht="10.95" customHeight="true" customFormat="true" s="9">
      <c r="A643" s="16">
        <v>45685</v>
      </c>
      <c r="B643" s="17" t="s">
        <v>463</v>
      </c>
      <c r="C643" s="17" t="s">
        <v>332</v>
      </c>
      <c r="D643" s="17" t="s">
        <v>464</v>
      </c>
      <c r="E643" s="17" t="s">
        <v>465</v>
      </c>
      <c r="F643" s="17" t="s">
        <v>466</v>
      </c>
      <c r="G643" s="17" t="s">
        <v>476</v>
      </c>
      <c r="H643" s="18">
        <v>29767.2500</v>
      </c>
      <c r="I643" s="18">
        <v>0</v>
      </c>
      <c r="J643" s="18">
        <f ca="1">((J642 + H643) - I643)</f>
        <v>0</v>
      </c>
      <c r="K643" s="18">
        <v>0</v>
      </c>
      <c r="L643" s="19">
        <v>0</v>
      </c>
      <c r="M643" s="17" t="s">
        <v>157</v>
      </c>
    </row>
    <row r="644" ht="10.95" customHeight="true" customFormat="true" s="9">
      <c r="A644" s="16">
        <v>45713</v>
      </c>
      <c r="B644" s="17" t="s">
        <v>463</v>
      </c>
      <c r="C644" s="17" t="s">
        <v>332</v>
      </c>
      <c r="D644" s="17" t="s">
        <v>464</v>
      </c>
      <c r="E644" s="17" t="s">
        <v>465</v>
      </c>
      <c r="F644" s="17" t="s">
        <v>466</v>
      </c>
      <c r="G644" s="17" t="s">
        <v>477</v>
      </c>
      <c r="H644" s="18">
        <v>29767.2500</v>
      </c>
      <c r="I644" s="18">
        <v>0</v>
      </c>
      <c r="J644" s="18">
        <f ca="1">((J643 + H644) - I644)</f>
        <v>0</v>
      </c>
      <c r="K644" s="18">
        <v>0</v>
      </c>
      <c r="L644" s="19">
        <v>0</v>
      </c>
      <c r="M644" s="17" t="s">
        <v>157</v>
      </c>
    </row>
    <row r="645" ht="10.95" customHeight="true" customFormat="true" s="9">
      <c r="A645" s="16">
        <v>45744</v>
      </c>
      <c r="B645" s="17" t="s">
        <v>463</v>
      </c>
      <c r="C645" s="17" t="s">
        <v>332</v>
      </c>
      <c r="D645" s="17" t="s">
        <v>464</v>
      </c>
      <c r="E645" s="17" t="s">
        <v>465</v>
      </c>
      <c r="F645" s="17" t="s">
        <v>466</v>
      </c>
      <c r="G645" s="17" t="s">
        <v>478</v>
      </c>
      <c r="H645" s="18">
        <v>53010.1200</v>
      </c>
      <c r="I645" s="18">
        <v>0</v>
      </c>
      <c r="J645" s="18">
        <f ca="1">((J644 + H645) - I645)</f>
        <v>0</v>
      </c>
      <c r="K645" s="18">
        <v>0</v>
      </c>
      <c r="L645" s="19">
        <v>0</v>
      </c>
      <c r="M645" s="17" t="s">
        <v>157</v>
      </c>
    </row>
    <row r="646" ht="10.95" customHeight="true" customFormat="true" s="9">
      <c r="A646" s="16">
        <v>45747</v>
      </c>
      <c r="B646" s="17" t="s">
        <v>463</v>
      </c>
      <c r="C646" s="17" t="s">
        <v>332</v>
      </c>
      <c r="D646" s="17" t="s">
        <v>464</v>
      </c>
      <c r="E646" s="17" t="s">
        <v>154</v>
      </c>
      <c r="F646" s="17" t="s">
        <v>479</v>
      </c>
      <c r="G646" s="17" t="s">
        <v>417</v>
      </c>
      <c r="H646" s="18">
        <v>0</v>
      </c>
      <c r="I646" s="18">
        <v>3560.1200</v>
      </c>
      <c r="J646" s="18">
        <f ca="1">((J645 + H646) - I646)</f>
        <v>0</v>
      </c>
      <c r="K646" s="18">
        <v>0</v>
      </c>
      <c r="L646" s="19">
        <v>0</v>
      </c>
      <c r="M646" s="17" t="s">
        <v>157</v>
      </c>
    </row>
    <row r="647" ht="10.95" customHeight="true" customFormat="true" s="9">
      <c r="A647" s="16">
        <v>45747</v>
      </c>
      <c r="B647" s="17" t="s">
        <v>463</v>
      </c>
      <c r="C647" s="17" t="s">
        <v>332</v>
      </c>
      <c r="D647" s="17" t="s">
        <v>464</v>
      </c>
      <c r="E647" s="17" t="s">
        <v>154</v>
      </c>
      <c r="F647" s="17" t="s">
        <v>418</v>
      </c>
      <c r="G647" s="17" t="s">
        <v>156</v>
      </c>
      <c r="H647" s="18">
        <v>12094.4100</v>
      </c>
      <c r="I647" s="18">
        <v>0</v>
      </c>
      <c r="J647" s="18">
        <f ca="1">((J646 + H647) - I647)</f>
        <v>0</v>
      </c>
      <c r="K647" s="18">
        <v>0</v>
      </c>
      <c r="L647" s="19">
        <v>0</v>
      </c>
      <c r="M647" s="17" t="s">
        <v>157</v>
      </c>
    </row>
    <row r="648" ht="10.95" customHeight="true" customFormat="true" s="9">
      <c r="A648" s="20" t="s">
        <v>480</v>
      </c>
      <c r="B648" s="20"/>
      <c r="C648" s="20"/>
      <c r="D648" s="20"/>
      <c r="E648" s="20"/>
      <c r="F648" s="20"/>
      <c r="G648" s="20"/>
      <c r="H648" s="21">
        <f ca="1">SUM(H634:H647)</f>
        <v>0</v>
      </c>
      <c r="I648" s="21">
        <f ca="1">SUM(I634:I647)</f>
        <v>0</v>
      </c>
      <c r="J648" s="21">
        <f ca="1">J647</f>
        <v>0</v>
      </c>
      <c r="K648" s="21">
        <f ca="1">SUM(K634:K647)</f>
        <v>0</v>
      </c>
      <c r="L648" s="20"/>
      <c r="M648" s="20"/>
    </row>
    <row r="649" ht="10.95" customHeight="true" customFormat="true" s="9">
      <c r="A649" s="20" t="s">
        <v>25</v>
      </c>
      <c r="B649" s="20"/>
      <c r="C649" s="20"/>
      <c r="D649" s="20"/>
      <c r="E649" s="20"/>
      <c r="F649" s="20"/>
      <c r="G649" s="20"/>
      <c r="H649" s="21">
        <v>415981.2000</v>
      </c>
      <c r="I649" s="21">
        <v>0</v>
      </c>
      <c r="J649" s="21">
        <v>0</v>
      </c>
      <c r="K649" s="21">
        <v>0</v>
      </c>
      <c r="L649" s="20"/>
      <c r="M649" s="20"/>
    </row>
    <row r="650" ht="10.95" customHeight="true" customFormat="true" s="9">
      <c r="A650" s="10" t="s">
        <v>26</v>
      </c>
      <c r="B650" s="10"/>
      <c r="C650" s="10"/>
      <c r="D650" s="10"/>
      <c r="E650" s="10"/>
      <c r="F650" s="10"/>
      <c r="G650" s="10"/>
      <c r="H650" s="11">
        <v>415981.2000</v>
      </c>
      <c r="I650" s="11">
        <v>0</v>
      </c>
      <c r="J650" s="11">
        <f ca="1">J647</f>
        <v>0</v>
      </c>
      <c r="K650" s="11">
        <v>0</v>
      </c>
      <c r="L650" s="10"/>
      <c r="M650" s="10"/>
    </row>
    <row r="651" ht="13.35" customHeight="true"/>
    <row r="652" ht="12.1" customHeight="true" customFormat="true" s="5">
      <c r="A652" s="8" t="s">
        <v>481</v>
      </c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</row>
    <row r="653" ht="10.95" customHeight="true" customFormat="true" s="9">
      <c r="A653" s="10" t="s">
        <v>17</v>
      </c>
      <c r="B653" s="10"/>
      <c r="C653" s="10"/>
      <c r="D653" s="10"/>
      <c r="E653" s="10"/>
      <c r="F653" s="10"/>
      <c r="G653" s="10"/>
      <c r="H653" s="11">
        <v>0</v>
      </c>
      <c r="I653" s="11">
        <v>0</v>
      </c>
      <c r="J653" s="11">
        <f ca="1">(H653 - I653)</f>
        <v>0</v>
      </c>
      <c r="K653" s="11">
        <v>0</v>
      </c>
      <c r="L653" s="10"/>
      <c r="M653" s="10"/>
    </row>
    <row r="654" ht="10.95" customHeight="true" customFormat="true" s="9">
      <c r="A654" s="12">
        <v>45409</v>
      </c>
      <c r="B654" s="13" t="s">
        <v>482</v>
      </c>
      <c r="C654" s="13" t="s">
        <v>332</v>
      </c>
      <c r="D654" s="13" t="s">
        <v>483</v>
      </c>
      <c r="E654" s="13" t="s">
        <v>465</v>
      </c>
      <c r="F654" s="13" t="s">
        <v>484</v>
      </c>
      <c r="G654" s="13" t="s">
        <v>467</v>
      </c>
      <c r="H654" s="14">
        <v>3190.6600</v>
      </c>
      <c r="I654" s="14">
        <v>0</v>
      </c>
      <c r="J654" s="14">
        <f ca="1">((J653 + H654) - I654)</f>
        <v>0</v>
      </c>
      <c r="K654" s="14">
        <v>0</v>
      </c>
      <c r="L654" s="15">
        <v>0</v>
      </c>
      <c r="M654" s="13" t="s">
        <v>157</v>
      </c>
    </row>
    <row r="655" ht="10.95" customHeight="true" customFormat="true" s="9">
      <c r="A655" s="16">
        <v>45440</v>
      </c>
      <c r="B655" s="17" t="s">
        <v>482</v>
      </c>
      <c r="C655" s="17" t="s">
        <v>332</v>
      </c>
      <c r="D655" s="17" t="s">
        <v>483</v>
      </c>
      <c r="E655" s="17" t="s">
        <v>465</v>
      </c>
      <c r="F655" s="17" t="s">
        <v>484</v>
      </c>
      <c r="G655" s="17" t="s">
        <v>468</v>
      </c>
      <c r="H655" s="18">
        <v>3190.6600</v>
      </c>
      <c r="I655" s="18">
        <v>0</v>
      </c>
      <c r="J655" s="18">
        <f ca="1">((J654 + H655) - I655)</f>
        <v>0</v>
      </c>
      <c r="K655" s="18">
        <v>0</v>
      </c>
      <c r="L655" s="19">
        <v>0</v>
      </c>
      <c r="M655" s="17" t="s">
        <v>157</v>
      </c>
    </row>
    <row r="656" ht="10.95" customHeight="true" customFormat="true" s="9">
      <c r="A656" s="16">
        <v>45470</v>
      </c>
      <c r="B656" s="17" t="s">
        <v>482</v>
      </c>
      <c r="C656" s="17" t="s">
        <v>332</v>
      </c>
      <c r="D656" s="17" t="s">
        <v>483</v>
      </c>
      <c r="E656" s="17" t="s">
        <v>465</v>
      </c>
      <c r="F656" s="17" t="s">
        <v>484</v>
      </c>
      <c r="G656" s="17" t="s">
        <v>469</v>
      </c>
      <c r="H656" s="18">
        <v>1268.3000</v>
      </c>
      <c r="I656" s="18">
        <v>0</v>
      </c>
      <c r="J656" s="18">
        <f ca="1">((J655 + H656) - I656)</f>
        <v>0</v>
      </c>
      <c r="K656" s="18">
        <v>0</v>
      </c>
      <c r="L656" s="19">
        <v>0</v>
      </c>
      <c r="M656" s="17" t="s">
        <v>157</v>
      </c>
    </row>
    <row r="657" ht="10.95" customHeight="true" customFormat="true" s="9">
      <c r="A657" s="16">
        <v>45501</v>
      </c>
      <c r="B657" s="17" t="s">
        <v>482</v>
      </c>
      <c r="C657" s="17" t="s">
        <v>332</v>
      </c>
      <c r="D657" s="17" t="s">
        <v>483</v>
      </c>
      <c r="E657" s="17" t="s">
        <v>465</v>
      </c>
      <c r="F657" s="17" t="s">
        <v>484</v>
      </c>
      <c r="G657" s="17" t="s">
        <v>470</v>
      </c>
      <c r="H657" s="18">
        <v>3335.6800</v>
      </c>
      <c r="I657" s="18">
        <v>0</v>
      </c>
      <c r="J657" s="18">
        <f ca="1">((J656 + H657) - I657)</f>
        <v>0</v>
      </c>
      <c r="K657" s="18">
        <v>0</v>
      </c>
      <c r="L657" s="19">
        <v>0</v>
      </c>
      <c r="M657" s="17" t="s">
        <v>157</v>
      </c>
    </row>
    <row r="658" ht="10.95" customHeight="true" customFormat="true" s="9">
      <c r="A658" s="16">
        <v>45532</v>
      </c>
      <c r="B658" s="17" t="s">
        <v>482</v>
      </c>
      <c r="C658" s="17" t="s">
        <v>332</v>
      </c>
      <c r="D658" s="17" t="s">
        <v>483</v>
      </c>
      <c r="E658" s="17" t="s">
        <v>465</v>
      </c>
      <c r="F658" s="17" t="s">
        <v>484</v>
      </c>
      <c r="G658" s="17" t="s">
        <v>471</v>
      </c>
      <c r="H658" s="18">
        <v>3335.6800</v>
      </c>
      <c r="I658" s="18">
        <v>0</v>
      </c>
      <c r="J658" s="18">
        <f ca="1">((J657 + H658) - I658)</f>
        <v>0</v>
      </c>
      <c r="K658" s="18">
        <v>0</v>
      </c>
      <c r="L658" s="19">
        <v>0</v>
      </c>
      <c r="M658" s="17" t="s">
        <v>157</v>
      </c>
    </row>
    <row r="659" ht="10.95" customHeight="true" customFormat="true" s="9">
      <c r="A659" s="16">
        <v>45562</v>
      </c>
      <c r="B659" s="17" t="s">
        <v>482</v>
      </c>
      <c r="C659" s="17" t="s">
        <v>332</v>
      </c>
      <c r="D659" s="17" t="s">
        <v>483</v>
      </c>
      <c r="E659" s="17" t="s">
        <v>465</v>
      </c>
      <c r="F659" s="17" t="s">
        <v>484</v>
      </c>
      <c r="G659" s="17" t="s">
        <v>472</v>
      </c>
      <c r="H659" s="18">
        <v>3335.6800</v>
      </c>
      <c r="I659" s="18">
        <v>0</v>
      </c>
      <c r="J659" s="18">
        <f ca="1">((J658 + H659) - I659)</f>
        <v>0</v>
      </c>
      <c r="K659" s="18">
        <v>0</v>
      </c>
      <c r="L659" s="19">
        <v>0</v>
      </c>
      <c r="M659" s="17" t="s">
        <v>157</v>
      </c>
    </row>
    <row r="660" ht="10.95" customHeight="true" customFormat="true" s="9">
      <c r="A660" s="16">
        <v>45593</v>
      </c>
      <c r="B660" s="17" t="s">
        <v>482</v>
      </c>
      <c r="C660" s="17" t="s">
        <v>332</v>
      </c>
      <c r="D660" s="17" t="s">
        <v>483</v>
      </c>
      <c r="E660" s="17" t="s">
        <v>465</v>
      </c>
      <c r="F660" s="17" t="s">
        <v>484</v>
      </c>
      <c r="G660" s="17" t="s">
        <v>473</v>
      </c>
      <c r="H660" s="18">
        <v>6630.4600</v>
      </c>
      <c r="I660" s="18">
        <v>0</v>
      </c>
      <c r="J660" s="18">
        <f ca="1">((J659 + H660) - I660)</f>
        <v>0</v>
      </c>
      <c r="K660" s="18">
        <v>0</v>
      </c>
      <c r="L660" s="19">
        <v>0</v>
      </c>
      <c r="M660" s="17" t="s">
        <v>157</v>
      </c>
    </row>
    <row r="661" ht="10.95" customHeight="true" customFormat="true" s="9">
      <c r="A661" s="16">
        <v>45623</v>
      </c>
      <c r="B661" s="17" t="s">
        <v>482</v>
      </c>
      <c r="C661" s="17" t="s">
        <v>332</v>
      </c>
      <c r="D661" s="17" t="s">
        <v>483</v>
      </c>
      <c r="E661" s="17" t="s">
        <v>465</v>
      </c>
      <c r="F661" s="17" t="s">
        <v>484</v>
      </c>
      <c r="G661" s="17" t="s">
        <v>474</v>
      </c>
      <c r="H661" s="18">
        <v>3423.2300</v>
      </c>
      <c r="I661" s="18">
        <v>0</v>
      </c>
      <c r="J661" s="18">
        <f ca="1">((J660 + H661) - I661)</f>
        <v>0</v>
      </c>
      <c r="K661" s="18">
        <v>0</v>
      </c>
      <c r="L661" s="19">
        <v>0</v>
      </c>
      <c r="M661" s="17" t="s">
        <v>157</v>
      </c>
    </row>
    <row r="662" ht="10.95" customHeight="true" customFormat="true" s="9">
      <c r="A662" s="16">
        <v>45654</v>
      </c>
      <c r="B662" s="17" t="s">
        <v>482</v>
      </c>
      <c r="C662" s="17" t="s">
        <v>332</v>
      </c>
      <c r="D662" s="17" t="s">
        <v>483</v>
      </c>
      <c r="E662" s="17" t="s">
        <v>465</v>
      </c>
      <c r="F662" s="17" t="s">
        <v>484</v>
      </c>
      <c r="G662" s="17" t="s">
        <v>475</v>
      </c>
      <c r="H662" s="18">
        <v>1670.0400</v>
      </c>
      <c r="I662" s="18">
        <v>0</v>
      </c>
      <c r="J662" s="18">
        <f ca="1">((J661 + H662) - I662)</f>
        <v>0</v>
      </c>
      <c r="K662" s="18">
        <v>0</v>
      </c>
      <c r="L662" s="19">
        <v>0</v>
      </c>
      <c r="M662" s="17" t="s">
        <v>157</v>
      </c>
    </row>
    <row r="663" ht="10.95" customHeight="true" customFormat="true" s="9">
      <c r="A663" s="16">
        <v>45685</v>
      </c>
      <c r="B663" s="17" t="s">
        <v>482</v>
      </c>
      <c r="C663" s="17" t="s">
        <v>332</v>
      </c>
      <c r="D663" s="17" t="s">
        <v>483</v>
      </c>
      <c r="E663" s="17" t="s">
        <v>465</v>
      </c>
      <c r="F663" s="17" t="s">
        <v>484</v>
      </c>
      <c r="G663" s="17" t="s">
        <v>476</v>
      </c>
      <c r="H663" s="18">
        <v>3423.2300</v>
      </c>
      <c r="I663" s="18">
        <v>0</v>
      </c>
      <c r="J663" s="18">
        <f ca="1">((J662 + H663) - I663)</f>
        <v>0</v>
      </c>
      <c r="K663" s="18">
        <v>0</v>
      </c>
      <c r="L663" s="19">
        <v>0</v>
      </c>
      <c r="M663" s="17" t="s">
        <v>157</v>
      </c>
    </row>
    <row r="664" ht="10.95" customHeight="true" customFormat="true" s="9">
      <c r="A664" s="16">
        <v>45713</v>
      </c>
      <c r="B664" s="17" t="s">
        <v>482</v>
      </c>
      <c r="C664" s="17" t="s">
        <v>332</v>
      </c>
      <c r="D664" s="17" t="s">
        <v>483</v>
      </c>
      <c r="E664" s="17" t="s">
        <v>465</v>
      </c>
      <c r="F664" s="17" t="s">
        <v>484</v>
      </c>
      <c r="G664" s="17" t="s">
        <v>477</v>
      </c>
      <c r="H664" s="18">
        <v>3423.2300</v>
      </c>
      <c r="I664" s="18">
        <v>0</v>
      </c>
      <c r="J664" s="18">
        <f ca="1">((J663 + H664) - I664)</f>
        <v>0</v>
      </c>
      <c r="K664" s="18">
        <v>0</v>
      </c>
      <c r="L664" s="19">
        <v>0</v>
      </c>
      <c r="M664" s="17" t="s">
        <v>157</v>
      </c>
    </row>
    <row r="665" ht="10.95" customHeight="true" customFormat="true" s="9">
      <c r="A665" s="16">
        <v>45744</v>
      </c>
      <c r="B665" s="17" t="s">
        <v>482</v>
      </c>
      <c r="C665" s="17" t="s">
        <v>332</v>
      </c>
      <c r="D665" s="17" t="s">
        <v>483</v>
      </c>
      <c r="E665" s="17" t="s">
        <v>465</v>
      </c>
      <c r="F665" s="17" t="s">
        <v>484</v>
      </c>
      <c r="G665" s="17" t="s">
        <v>478</v>
      </c>
      <c r="H665" s="18">
        <v>4709.2600</v>
      </c>
      <c r="I665" s="18">
        <v>0</v>
      </c>
      <c r="J665" s="18">
        <f ca="1">((J664 + H665) - I665)</f>
        <v>0</v>
      </c>
      <c r="K665" s="18">
        <v>0</v>
      </c>
      <c r="L665" s="19">
        <v>0</v>
      </c>
      <c r="M665" s="17" t="s">
        <v>157</v>
      </c>
    </row>
    <row r="666" ht="10.95" customHeight="true" customFormat="true" s="9">
      <c r="A666" s="16">
        <v>45747</v>
      </c>
      <c r="B666" s="17" t="s">
        <v>482</v>
      </c>
      <c r="C666" s="17" t="s">
        <v>332</v>
      </c>
      <c r="D666" s="17" t="s">
        <v>483</v>
      </c>
      <c r="E666" s="17" t="s">
        <v>154</v>
      </c>
      <c r="F666" s="17" t="s">
        <v>479</v>
      </c>
      <c r="G666" s="17" t="s">
        <v>417</v>
      </c>
      <c r="H666" s="18">
        <v>3560.1200</v>
      </c>
      <c r="I666" s="18">
        <v>0</v>
      </c>
      <c r="J666" s="18">
        <f ca="1">((J665 + H666) - I666)</f>
        <v>0</v>
      </c>
      <c r="K666" s="18">
        <v>0</v>
      </c>
      <c r="L666" s="19">
        <v>0</v>
      </c>
      <c r="M666" s="17" t="s">
        <v>157</v>
      </c>
    </row>
    <row r="667" ht="10.95" customHeight="true" customFormat="true" s="9">
      <c r="A667" s="20" t="s">
        <v>485</v>
      </c>
      <c r="B667" s="20"/>
      <c r="C667" s="20"/>
      <c r="D667" s="20"/>
      <c r="E667" s="20"/>
      <c r="F667" s="20"/>
      <c r="G667" s="20"/>
      <c r="H667" s="21">
        <f ca="1">SUM(H654:H666)</f>
        <v>0</v>
      </c>
      <c r="I667" s="21">
        <f ca="1">SUM(I654:I666)</f>
        <v>0</v>
      </c>
      <c r="J667" s="21">
        <f ca="1">J666</f>
        <v>0</v>
      </c>
      <c r="K667" s="21">
        <f ca="1">SUM(K654:K666)</f>
        <v>0</v>
      </c>
      <c r="L667" s="20"/>
      <c r="M667" s="20"/>
    </row>
    <row r="668" ht="10.95" customHeight="true" customFormat="true" s="9">
      <c r="A668" s="20" t="s">
        <v>25</v>
      </c>
      <c r="B668" s="20"/>
      <c r="C668" s="20"/>
      <c r="D668" s="20"/>
      <c r="E668" s="20"/>
      <c r="F668" s="20"/>
      <c r="G668" s="20"/>
      <c r="H668" s="21">
        <v>44496.2300</v>
      </c>
      <c r="I668" s="21">
        <v>0</v>
      </c>
      <c r="J668" s="21">
        <v>0</v>
      </c>
      <c r="K668" s="21">
        <v>0</v>
      </c>
      <c r="L668" s="20"/>
      <c r="M668" s="20"/>
    </row>
    <row r="669" ht="10.95" customHeight="true" customFormat="true" s="9">
      <c r="A669" s="10" t="s">
        <v>26</v>
      </c>
      <c r="B669" s="10"/>
      <c r="C669" s="10"/>
      <c r="D669" s="10"/>
      <c r="E669" s="10"/>
      <c r="F669" s="10"/>
      <c r="G669" s="10"/>
      <c r="H669" s="11">
        <v>44496.2300</v>
      </c>
      <c r="I669" s="11">
        <v>0</v>
      </c>
      <c r="J669" s="11">
        <f ca="1">J666</f>
        <v>0</v>
      </c>
      <c r="K669" s="11">
        <v>0</v>
      </c>
      <c r="L669" s="10"/>
      <c r="M669" s="10"/>
    </row>
    <row r="670" ht="13.35" customHeight="true"/>
    <row r="671" ht="12.1" customHeight="true" customFormat="true" s="5">
      <c r="A671" s="8" t="s">
        <v>486</v>
      </c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</row>
    <row r="672" ht="10.95" customHeight="true" customFormat="true" s="9">
      <c r="A672" s="10" t="s">
        <v>17</v>
      </c>
      <c r="B672" s="10"/>
      <c r="C672" s="10"/>
      <c r="D672" s="10"/>
      <c r="E672" s="10"/>
      <c r="F672" s="10"/>
      <c r="G672" s="10"/>
      <c r="H672" s="11">
        <v>0</v>
      </c>
      <c r="I672" s="11">
        <v>0</v>
      </c>
      <c r="J672" s="11">
        <f ca="1">(H672 - I672)</f>
        <v>0</v>
      </c>
      <c r="K672" s="11">
        <v>0</v>
      </c>
      <c r="L672" s="10"/>
      <c r="M672" s="10"/>
    </row>
    <row r="673" ht="10.95" customHeight="true" customFormat="true" s="9">
      <c r="A673" s="12">
        <v>45412</v>
      </c>
      <c r="B673" s="13" t="s">
        <v>487</v>
      </c>
      <c r="C673" s="13" t="s">
        <v>332</v>
      </c>
      <c r="D673" s="13" t="s">
        <v>488</v>
      </c>
      <c r="E673" s="13" t="s">
        <v>154</v>
      </c>
      <c r="F673" s="13" t="s">
        <v>423</v>
      </c>
      <c r="G673" s="13" t="s">
        <v>424</v>
      </c>
      <c r="H673" s="14">
        <v>174.6500</v>
      </c>
      <c r="I673" s="14">
        <v>0</v>
      </c>
      <c r="J673" s="14">
        <f ca="1">((J672 + H673) - I673)</f>
        <v>0</v>
      </c>
      <c r="K673" s="14">
        <v>0</v>
      </c>
      <c r="L673" s="15">
        <v>0</v>
      </c>
      <c r="M673" s="13" t="s">
        <v>157</v>
      </c>
    </row>
    <row r="674" ht="10.95" customHeight="true" customFormat="true" s="9">
      <c r="A674" s="16">
        <v>45443</v>
      </c>
      <c r="B674" s="17" t="s">
        <v>487</v>
      </c>
      <c r="C674" s="17" t="s">
        <v>332</v>
      </c>
      <c r="D674" s="17" t="s">
        <v>488</v>
      </c>
      <c r="E674" s="17" t="s">
        <v>154</v>
      </c>
      <c r="F674" s="17" t="s">
        <v>425</v>
      </c>
      <c r="G674" s="17" t="s">
        <v>426</v>
      </c>
      <c r="H674" s="18">
        <v>180.4700</v>
      </c>
      <c r="I674" s="18">
        <v>0</v>
      </c>
      <c r="J674" s="18">
        <f ca="1">((J673 + H674) - I674)</f>
        <v>0</v>
      </c>
      <c r="K674" s="18">
        <v>0</v>
      </c>
      <c r="L674" s="19">
        <v>0</v>
      </c>
      <c r="M674" s="17" t="s">
        <v>157</v>
      </c>
    </row>
    <row r="675" ht="10.95" customHeight="true" customFormat="true" s="9">
      <c r="A675" s="16">
        <v>45473</v>
      </c>
      <c r="B675" s="17" t="s">
        <v>487</v>
      </c>
      <c r="C675" s="17" t="s">
        <v>332</v>
      </c>
      <c r="D675" s="17" t="s">
        <v>488</v>
      </c>
      <c r="E675" s="17" t="s">
        <v>154</v>
      </c>
      <c r="F675" s="17" t="s">
        <v>427</v>
      </c>
      <c r="G675" s="17" t="s">
        <v>428</v>
      </c>
      <c r="H675" s="18">
        <v>174.6500</v>
      </c>
      <c r="I675" s="18">
        <v>0</v>
      </c>
      <c r="J675" s="18">
        <f ca="1">((J674 + H675) - I675)</f>
        <v>0</v>
      </c>
      <c r="K675" s="18">
        <v>0</v>
      </c>
      <c r="L675" s="19">
        <v>0</v>
      </c>
      <c r="M675" s="17" t="s">
        <v>157</v>
      </c>
    </row>
    <row r="676" ht="10.95" customHeight="true" customFormat="true" s="9">
      <c r="A676" s="16">
        <v>45520</v>
      </c>
      <c r="B676" s="17" t="s">
        <v>487</v>
      </c>
      <c r="C676" s="17" t="s">
        <v>332</v>
      </c>
      <c r="D676" s="17" t="s">
        <v>488</v>
      </c>
      <c r="E676" s="17" t="s">
        <v>29</v>
      </c>
      <c r="F676" s="17" t="s">
        <v>489</v>
      </c>
      <c r="G676" s="17"/>
      <c r="H676" s="18">
        <v>1860.7400</v>
      </c>
      <c r="I676" s="18">
        <v>0</v>
      </c>
      <c r="J676" s="18">
        <f ca="1">((J675 + H676) - I676)</f>
        <v>0</v>
      </c>
      <c r="K676" s="18">
        <v>0</v>
      </c>
      <c r="L676" s="19">
        <v>0</v>
      </c>
      <c r="M676" s="17" t="s">
        <v>157</v>
      </c>
    </row>
    <row r="677" ht="10.95" customHeight="true" customFormat="true" s="9">
      <c r="A677" s="16">
        <v>45747</v>
      </c>
      <c r="B677" s="17" t="s">
        <v>487</v>
      </c>
      <c r="C677" s="17" t="s">
        <v>332</v>
      </c>
      <c r="D677" s="17" t="s">
        <v>488</v>
      </c>
      <c r="E677" s="17" t="s">
        <v>154</v>
      </c>
      <c r="F677" s="17" t="s">
        <v>490</v>
      </c>
      <c r="G677" s="17" t="s">
        <v>156</v>
      </c>
      <c r="H677" s="18">
        <v>0</v>
      </c>
      <c r="I677" s="18">
        <v>463.9100</v>
      </c>
      <c r="J677" s="18">
        <f ca="1">((J676 + H677) - I677)</f>
        <v>0</v>
      </c>
      <c r="K677" s="18">
        <v>0</v>
      </c>
      <c r="L677" s="19">
        <v>0</v>
      </c>
      <c r="M677" s="17" t="s">
        <v>157</v>
      </c>
    </row>
    <row r="678" ht="10.95" customHeight="true" customFormat="true" s="9">
      <c r="A678" s="20" t="s">
        <v>491</v>
      </c>
      <c r="B678" s="20"/>
      <c r="C678" s="20"/>
      <c r="D678" s="20"/>
      <c r="E678" s="20"/>
      <c r="F678" s="20"/>
      <c r="G678" s="20"/>
      <c r="H678" s="21">
        <f ca="1">SUM(H673:H677)</f>
        <v>0</v>
      </c>
      <c r="I678" s="21">
        <f ca="1">SUM(I673:I677)</f>
        <v>0</v>
      </c>
      <c r="J678" s="21">
        <f ca="1">J677</f>
        <v>0</v>
      </c>
      <c r="K678" s="21">
        <f ca="1">SUM(K673:K677)</f>
        <v>0</v>
      </c>
      <c r="L678" s="20"/>
      <c r="M678" s="20"/>
    </row>
    <row r="679" ht="10.95" customHeight="true" customFormat="true" s="9">
      <c r="A679" s="20" t="s">
        <v>25</v>
      </c>
      <c r="B679" s="20"/>
      <c r="C679" s="20"/>
      <c r="D679" s="20"/>
      <c r="E679" s="20"/>
      <c r="F679" s="20"/>
      <c r="G679" s="20"/>
      <c r="H679" s="21">
        <v>1926.6000</v>
      </c>
      <c r="I679" s="21">
        <v>0</v>
      </c>
      <c r="J679" s="21">
        <v>0</v>
      </c>
      <c r="K679" s="21">
        <v>0</v>
      </c>
      <c r="L679" s="20"/>
      <c r="M679" s="20"/>
    </row>
    <row r="680" ht="10.95" customHeight="true" customFormat="true" s="9">
      <c r="A680" s="10" t="s">
        <v>26</v>
      </c>
      <c r="B680" s="10"/>
      <c r="C680" s="10"/>
      <c r="D680" s="10"/>
      <c r="E680" s="10"/>
      <c r="F680" s="10"/>
      <c r="G680" s="10"/>
      <c r="H680" s="11">
        <v>1926.6000</v>
      </c>
      <c r="I680" s="11">
        <v>0</v>
      </c>
      <c r="J680" s="11">
        <f ca="1">J677</f>
        <v>0</v>
      </c>
      <c r="K680" s="11">
        <v>0</v>
      </c>
      <c r="L680" s="10"/>
      <c r="M680" s="10"/>
    </row>
    <row r="681" ht="13.35" customHeight="true"/>
    <row r="682" ht="12.1" customHeight="true" customFormat="true" s="5">
      <c r="A682" s="8" t="s">
        <v>492</v>
      </c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</row>
    <row r="683" ht="10.95" customHeight="true" customFormat="true" s="9">
      <c r="A683" s="10" t="s">
        <v>17</v>
      </c>
      <c r="B683" s="10"/>
      <c r="C683" s="10"/>
      <c r="D683" s="10"/>
      <c r="E683" s="10"/>
      <c r="F683" s="10"/>
      <c r="G683" s="10"/>
      <c r="H683" s="11">
        <v>0</v>
      </c>
      <c r="I683" s="11">
        <v>0</v>
      </c>
      <c r="J683" s="11">
        <f ca="1">(H683 - I683)</f>
        <v>0</v>
      </c>
      <c r="K683" s="11">
        <v>0</v>
      </c>
      <c r="L683" s="10"/>
      <c r="M683" s="10"/>
    </row>
    <row r="684" ht="21.3" customHeight="true" customFormat="true" s="9">
      <c r="A684" s="12">
        <v>45596</v>
      </c>
      <c r="B684" s="13" t="s">
        <v>493</v>
      </c>
      <c r="C684" s="13" t="s">
        <v>332</v>
      </c>
      <c r="D684" s="13" t="s">
        <v>494</v>
      </c>
      <c r="E684" s="13" t="s">
        <v>339</v>
      </c>
      <c r="F684" s="22" t="s">
        <v>495</v>
      </c>
      <c r="G684" s="13" t="s">
        <v>56</v>
      </c>
      <c r="H684" s="14">
        <v>4221.3600</v>
      </c>
      <c r="I684" s="14">
        <v>0</v>
      </c>
      <c r="J684" s="14">
        <f ca="1">((J683 + H684) - I684)</f>
        <v>0</v>
      </c>
      <c r="K684" s="14">
        <v>422.1400</v>
      </c>
      <c r="L684" s="15">
        <v>10.0000</v>
      </c>
      <c r="M684" s="13" t="s">
        <v>341</v>
      </c>
    </row>
    <row r="685" ht="31.65" customHeight="true" customFormat="true" s="9">
      <c r="A685" s="16">
        <v>45596</v>
      </c>
      <c r="B685" s="17" t="s">
        <v>493</v>
      </c>
      <c r="C685" s="17" t="s">
        <v>332</v>
      </c>
      <c r="D685" s="17" t="s">
        <v>494</v>
      </c>
      <c r="E685" s="17" t="s">
        <v>339</v>
      </c>
      <c r="F685" s="23" t="s">
        <v>496</v>
      </c>
      <c r="G685" s="17" t="s">
        <v>56</v>
      </c>
      <c r="H685" s="18">
        <v>1199.8800</v>
      </c>
      <c r="I685" s="18">
        <v>0</v>
      </c>
      <c r="J685" s="18">
        <f ca="1">((J684 + H685) - I685)</f>
        <v>0</v>
      </c>
      <c r="K685" s="18">
        <v>119.9900</v>
      </c>
      <c r="L685" s="19">
        <v>10.0000</v>
      </c>
      <c r="M685" s="17" t="s">
        <v>341</v>
      </c>
    </row>
    <row r="686" ht="31.65" customHeight="true" customFormat="true" s="9">
      <c r="A686" s="16">
        <v>45596</v>
      </c>
      <c r="B686" s="17" t="s">
        <v>493</v>
      </c>
      <c r="C686" s="17" t="s">
        <v>332</v>
      </c>
      <c r="D686" s="17" t="s">
        <v>494</v>
      </c>
      <c r="E686" s="17" t="s">
        <v>339</v>
      </c>
      <c r="F686" s="23" t="s">
        <v>497</v>
      </c>
      <c r="G686" s="17" t="s">
        <v>57</v>
      </c>
      <c r="H686" s="18">
        <v>1079.6400</v>
      </c>
      <c r="I686" s="18">
        <v>0</v>
      </c>
      <c r="J686" s="18">
        <f ca="1">((J685 + H686) - I686)</f>
        <v>0</v>
      </c>
      <c r="K686" s="18">
        <v>107.9600</v>
      </c>
      <c r="L686" s="19">
        <v>10.0000</v>
      </c>
      <c r="M686" s="17" t="s">
        <v>341</v>
      </c>
    </row>
    <row r="687" ht="10.95" customHeight="true" customFormat="true" s="9">
      <c r="A687" s="16">
        <v>45716</v>
      </c>
      <c r="B687" s="17" t="s">
        <v>493</v>
      </c>
      <c r="C687" s="17" t="s">
        <v>332</v>
      </c>
      <c r="D687" s="17" t="s">
        <v>494</v>
      </c>
      <c r="E687" s="17" t="s">
        <v>339</v>
      </c>
      <c r="F687" s="17" t="s">
        <v>498</v>
      </c>
      <c r="G687" s="17" t="s">
        <v>65</v>
      </c>
      <c r="H687" s="18">
        <v>1032.6400</v>
      </c>
      <c r="I687" s="18">
        <v>0</v>
      </c>
      <c r="J687" s="18">
        <f ca="1">((J686 + H687) - I687)</f>
        <v>0</v>
      </c>
      <c r="K687" s="18">
        <v>103.2600</v>
      </c>
      <c r="L687" s="19">
        <v>10.0000</v>
      </c>
      <c r="M687" s="17" t="s">
        <v>341</v>
      </c>
    </row>
    <row r="688" ht="10.95" customHeight="true" customFormat="true" s="9">
      <c r="A688" s="20" t="s">
        <v>499</v>
      </c>
      <c r="B688" s="20"/>
      <c r="C688" s="20"/>
      <c r="D688" s="20"/>
      <c r="E688" s="20"/>
      <c r="F688" s="20"/>
      <c r="G688" s="20"/>
      <c r="H688" s="21">
        <f ca="1">SUM(H684:H687)</f>
        <v>0</v>
      </c>
      <c r="I688" s="21">
        <f ca="1">SUM(I684:I687)</f>
        <v>0</v>
      </c>
      <c r="J688" s="21">
        <f ca="1">J687</f>
        <v>0</v>
      </c>
      <c r="K688" s="21">
        <f ca="1">SUM(K684:K687)</f>
        <v>0</v>
      </c>
      <c r="L688" s="20"/>
      <c r="M688" s="20"/>
    </row>
    <row r="689" ht="10.95" customHeight="true" customFormat="true" s="9">
      <c r="A689" s="20" t="s">
        <v>25</v>
      </c>
      <c r="B689" s="20"/>
      <c r="C689" s="20"/>
      <c r="D689" s="20"/>
      <c r="E689" s="20"/>
      <c r="F689" s="20"/>
      <c r="G689" s="20"/>
      <c r="H689" s="21">
        <v>7533.5200</v>
      </c>
      <c r="I689" s="21">
        <v>0</v>
      </c>
      <c r="J689" s="21">
        <v>0</v>
      </c>
      <c r="K689" s="21">
        <v>0</v>
      </c>
      <c r="L689" s="20"/>
      <c r="M689" s="20"/>
    </row>
    <row r="690" ht="10.95" customHeight="true" customFormat="true" s="9">
      <c r="A690" s="10" t="s">
        <v>26</v>
      </c>
      <c r="B690" s="10"/>
      <c r="C690" s="10"/>
      <c r="D690" s="10"/>
      <c r="E690" s="10"/>
      <c r="F690" s="10"/>
      <c r="G690" s="10"/>
      <c r="H690" s="11">
        <v>7533.5200</v>
      </c>
      <c r="I690" s="11">
        <v>0</v>
      </c>
      <c r="J690" s="11">
        <f ca="1">J687</f>
        <v>0</v>
      </c>
      <c r="K690" s="11">
        <v>0</v>
      </c>
      <c r="L690" s="10"/>
      <c r="M690" s="10"/>
    </row>
    <row r="691" ht="13.35" customHeight="true"/>
    <row r="692" ht="12.1" customHeight="true" customFormat="true" s="5">
      <c r="A692" s="8" t="s">
        <v>500</v>
      </c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</row>
    <row r="693" ht="10.95" customHeight="true" customFormat="true" s="9">
      <c r="A693" s="10" t="s">
        <v>17</v>
      </c>
      <c r="B693" s="10"/>
      <c r="C693" s="10"/>
      <c r="D693" s="10"/>
      <c r="E693" s="10"/>
      <c r="F693" s="10"/>
      <c r="G693" s="10"/>
      <c r="H693" s="11">
        <v>0</v>
      </c>
      <c r="I693" s="11">
        <v>0</v>
      </c>
      <c r="J693" s="11">
        <f ca="1">(H693 - I693)</f>
        <v>0</v>
      </c>
      <c r="K693" s="11">
        <v>0</v>
      </c>
      <c r="L693" s="10"/>
      <c r="M693" s="10"/>
    </row>
    <row r="694" ht="10.95" customHeight="true" customFormat="true" s="9">
      <c r="A694" s="12">
        <v>45412</v>
      </c>
      <c r="B694" s="13" t="s">
        <v>501</v>
      </c>
      <c r="C694" s="13" t="s">
        <v>332</v>
      </c>
      <c r="D694" s="13" t="s">
        <v>502</v>
      </c>
      <c r="E694" s="13" t="s">
        <v>154</v>
      </c>
      <c r="F694" s="13" t="s">
        <v>503</v>
      </c>
      <c r="G694" s="13" t="s">
        <v>504</v>
      </c>
      <c r="H694" s="14">
        <v>0</v>
      </c>
      <c r="I694" s="14">
        <v>1196.4200</v>
      </c>
      <c r="J694" s="14">
        <f ca="1">((J693 + H694) - I694)</f>
        <v>0</v>
      </c>
      <c r="K694" s="14">
        <v>0</v>
      </c>
      <c r="L694" s="15">
        <v>0</v>
      </c>
      <c r="M694" s="13" t="s">
        <v>157</v>
      </c>
    </row>
    <row r="695" ht="10.95" customHeight="true" customFormat="true" s="9">
      <c r="A695" s="16">
        <v>45443</v>
      </c>
      <c r="B695" s="17" t="s">
        <v>501</v>
      </c>
      <c r="C695" s="17" t="s">
        <v>332</v>
      </c>
      <c r="D695" s="17" t="s">
        <v>502</v>
      </c>
      <c r="E695" s="17" t="s">
        <v>154</v>
      </c>
      <c r="F695" s="17" t="s">
        <v>505</v>
      </c>
      <c r="G695" s="17" t="s">
        <v>506</v>
      </c>
      <c r="H695" s="18">
        <v>2449.2900</v>
      </c>
      <c r="I695" s="18">
        <v>0</v>
      </c>
      <c r="J695" s="18">
        <f ca="1">((J694 + H695) - I695)</f>
        <v>0</v>
      </c>
      <c r="K695" s="18">
        <v>0</v>
      </c>
      <c r="L695" s="19">
        <v>0</v>
      </c>
      <c r="M695" s="17" t="s">
        <v>157</v>
      </c>
    </row>
    <row r="696" ht="10.95" customHeight="true" customFormat="true" s="9">
      <c r="A696" s="16">
        <v>45473</v>
      </c>
      <c r="B696" s="17" t="s">
        <v>501</v>
      </c>
      <c r="C696" s="17" t="s">
        <v>332</v>
      </c>
      <c r="D696" s="17" t="s">
        <v>502</v>
      </c>
      <c r="E696" s="17" t="s">
        <v>154</v>
      </c>
      <c r="F696" s="17" t="s">
        <v>507</v>
      </c>
      <c r="G696" s="17" t="s">
        <v>508</v>
      </c>
      <c r="H696" s="18">
        <v>0</v>
      </c>
      <c r="I696" s="18">
        <v>1358.0800</v>
      </c>
      <c r="J696" s="18">
        <f ca="1">((J695 + H696) - I696)</f>
        <v>0</v>
      </c>
      <c r="K696" s="18">
        <v>0</v>
      </c>
      <c r="L696" s="19">
        <v>0</v>
      </c>
      <c r="M696" s="17" t="s">
        <v>157</v>
      </c>
    </row>
    <row r="697" ht="10.95" customHeight="true" customFormat="true" s="9">
      <c r="A697" s="16">
        <v>45504</v>
      </c>
      <c r="B697" s="17" t="s">
        <v>501</v>
      </c>
      <c r="C697" s="17" t="s">
        <v>332</v>
      </c>
      <c r="D697" s="17" t="s">
        <v>502</v>
      </c>
      <c r="E697" s="17" t="s">
        <v>154</v>
      </c>
      <c r="F697" s="17" t="s">
        <v>509</v>
      </c>
      <c r="G697" s="17" t="s">
        <v>510</v>
      </c>
      <c r="H697" s="18">
        <v>29.5500</v>
      </c>
      <c r="I697" s="18">
        <v>0</v>
      </c>
      <c r="J697" s="18">
        <f ca="1">((J696 + H697) - I697)</f>
        <v>0</v>
      </c>
      <c r="K697" s="18">
        <v>0</v>
      </c>
      <c r="L697" s="19">
        <v>0</v>
      </c>
      <c r="M697" s="17" t="s">
        <v>157</v>
      </c>
    </row>
    <row r="698" ht="10.95" customHeight="true" customFormat="true" s="9">
      <c r="A698" s="16">
        <v>45535</v>
      </c>
      <c r="B698" s="17" t="s">
        <v>501</v>
      </c>
      <c r="C698" s="17" t="s">
        <v>332</v>
      </c>
      <c r="D698" s="17" t="s">
        <v>502</v>
      </c>
      <c r="E698" s="17" t="s">
        <v>154</v>
      </c>
      <c r="F698" s="17" t="s">
        <v>511</v>
      </c>
      <c r="G698" s="17" t="s">
        <v>512</v>
      </c>
      <c r="H698" s="18">
        <v>495.3800</v>
      </c>
      <c r="I698" s="18">
        <v>0</v>
      </c>
      <c r="J698" s="18">
        <f ca="1">((J697 + H698) - I698)</f>
        <v>0</v>
      </c>
      <c r="K698" s="18">
        <v>0</v>
      </c>
      <c r="L698" s="19">
        <v>0</v>
      </c>
      <c r="M698" s="17" t="s">
        <v>157</v>
      </c>
    </row>
    <row r="699" ht="10.95" customHeight="true" customFormat="true" s="9">
      <c r="A699" s="16">
        <v>45565</v>
      </c>
      <c r="B699" s="17" t="s">
        <v>501</v>
      </c>
      <c r="C699" s="17" t="s">
        <v>332</v>
      </c>
      <c r="D699" s="17" t="s">
        <v>502</v>
      </c>
      <c r="E699" s="17" t="s">
        <v>154</v>
      </c>
      <c r="F699" s="17" t="s">
        <v>513</v>
      </c>
      <c r="G699" s="17" t="s">
        <v>514</v>
      </c>
      <c r="H699" s="18">
        <v>448.7600</v>
      </c>
      <c r="I699" s="18">
        <v>0</v>
      </c>
      <c r="J699" s="18">
        <f ca="1">((J698 + H699) - I699)</f>
        <v>0</v>
      </c>
      <c r="K699" s="18">
        <v>0</v>
      </c>
      <c r="L699" s="19">
        <v>0</v>
      </c>
      <c r="M699" s="17" t="s">
        <v>157</v>
      </c>
    </row>
    <row r="700" ht="10.95" customHeight="true" customFormat="true" s="9">
      <c r="A700" s="16">
        <v>45596</v>
      </c>
      <c r="B700" s="17" t="s">
        <v>501</v>
      </c>
      <c r="C700" s="17" t="s">
        <v>332</v>
      </c>
      <c r="D700" s="17" t="s">
        <v>502</v>
      </c>
      <c r="E700" s="17" t="s">
        <v>154</v>
      </c>
      <c r="F700" s="17" t="s">
        <v>513</v>
      </c>
      <c r="G700" s="17" t="s">
        <v>515</v>
      </c>
      <c r="H700" s="18">
        <v>2833.3800</v>
      </c>
      <c r="I700" s="18">
        <v>0</v>
      </c>
      <c r="J700" s="18">
        <f ca="1">((J699 + H700) - I700)</f>
        <v>0</v>
      </c>
      <c r="K700" s="18">
        <v>0</v>
      </c>
      <c r="L700" s="19">
        <v>0</v>
      </c>
      <c r="M700" s="17" t="s">
        <v>157</v>
      </c>
    </row>
    <row r="701" ht="10.95" customHeight="true" customFormat="true" s="9">
      <c r="A701" s="16">
        <v>45626</v>
      </c>
      <c r="B701" s="17" t="s">
        <v>501</v>
      </c>
      <c r="C701" s="17" t="s">
        <v>332</v>
      </c>
      <c r="D701" s="17" t="s">
        <v>502</v>
      </c>
      <c r="E701" s="17" t="s">
        <v>154</v>
      </c>
      <c r="F701" s="17" t="s">
        <v>513</v>
      </c>
      <c r="G701" s="17" t="s">
        <v>516</v>
      </c>
      <c r="H701" s="18">
        <v>2025.6200</v>
      </c>
      <c r="I701" s="18">
        <v>0</v>
      </c>
      <c r="J701" s="18">
        <f ca="1">((J700 + H701) - I701)</f>
        <v>0</v>
      </c>
      <c r="K701" s="18">
        <v>0</v>
      </c>
      <c r="L701" s="19">
        <v>0</v>
      </c>
      <c r="M701" s="17" t="s">
        <v>157</v>
      </c>
    </row>
    <row r="702" ht="10.95" customHeight="true" customFormat="true" s="9">
      <c r="A702" s="16">
        <v>45657</v>
      </c>
      <c r="B702" s="17" t="s">
        <v>501</v>
      </c>
      <c r="C702" s="17" t="s">
        <v>332</v>
      </c>
      <c r="D702" s="17" t="s">
        <v>502</v>
      </c>
      <c r="E702" s="17" t="s">
        <v>154</v>
      </c>
      <c r="F702" s="17" t="s">
        <v>513</v>
      </c>
      <c r="G702" s="17" t="s">
        <v>517</v>
      </c>
      <c r="H702" s="18">
        <v>0</v>
      </c>
      <c r="I702" s="18">
        <v>343.4700</v>
      </c>
      <c r="J702" s="18">
        <f ca="1">((J701 + H702) - I702)</f>
        <v>0</v>
      </c>
      <c r="K702" s="18">
        <v>0</v>
      </c>
      <c r="L702" s="19">
        <v>0</v>
      </c>
      <c r="M702" s="17" t="s">
        <v>157</v>
      </c>
    </row>
    <row r="703" ht="10.95" customHeight="true" customFormat="true" s="9">
      <c r="A703" s="16">
        <v>45688</v>
      </c>
      <c r="B703" s="17" t="s">
        <v>501</v>
      </c>
      <c r="C703" s="17" t="s">
        <v>332</v>
      </c>
      <c r="D703" s="17" t="s">
        <v>502</v>
      </c>
      <c r="E703" s="17" t="s">
        <v>154</v>
      </c>
      <c r="F703" s="17" t="s">
        <v>513</v>
      </c>
      <c r="G703" s="17" t="s">
        <v>518</v>
      </c>
      <c r="H703" s="18">
        <v>2513.5700</v>
      </c>
      <c r="I703" s="18">
        <v>0</v>
      </c>
      <c r="J703" s="18">
        <f ca="1">((J702 + H703) - I703)</f>
        <v>0</v>
      </c>
      <c r="K703" s="18">
        <v>0</v>
      </c>
      <c r="L703" s="19">
        <v>0</v>
      </c>
      <c r="M703" s="17" t="s">
        <v>157</v>
      </c>
    </row>
    <row r="704" ht="10.95" customHeight="true" customFormat="true" s="9">
      <c r="A704" s="16">
        <v>45716</v>
      </c>
      <c r="B704" s="17" t="s">
        <v>501</v>
      </c>
      <c r="C704" s="17" t="s">
        <v>332</v>
      </c>
      <c r="D704" s="17" t="s">
        <v>502</v>
      </c>
      <c r="E704" s="17" t="s">
        <v>154</v>
      </c>
      <c r="F704" s="17" t="s">
        <v>513</v>
      </c>
      <c r="G704" s="17" t="s">
        <v>519</v>
      </c>
      <c r="H704" s="18">
        <v>2185.7100</v>
      </c>
      <c r="I704" s="18">
        <v>0</v>
      </c>
      <c r="J704" s="18">
        <f ca="1">((J703 + H704) - I704)</f>
        <v>0</v>
      </c>
      <c r="K704" s="18">
        <v>0</v>
      </c>
      <c r="L704" s="19">
        <v>0</v>
      </c>
      <c r="M704" s="17" t="s">
        <v>157</v>
      </c>
    </row>
    <row r="705" ht="10.95" customHeight="true" customFormat="true" s="9">
      <c r="A705" s="16">
        <v>45747</v>
      </c>
      <c r="B705" s="17" t="s">
        <v>501</v>
      </c>
      <c r="C705" s="17" t="s">
        <v>332</v>
      </c>
      <c r="D705" s="17" t="s">
        <v>502</v>
      </c>
      <c r="E705" s="17" t="s">
        <v>154</v>
      </c>
      <c r="F705" s="17" t="s">
        <v>520</v>
      </c>
      <c r="G705" s="17" t="s">
        <v>417</v>
      </c>
      <c r="H705" s="18">
        <v>0</v>
      </c>
      <c r="I705" s="18">
        <v>1205.2500</v>
      </c>
      <c r="J705" s="18">
        <f ca="1">((J704 + H705) - I705)</f>
        <v>0</v>
      </c>
      <c r="K705" s="18">
        <v>0</v>
      </c>
      <c r="L705" s="19">
        <v>0</v>
      </c>
      <c r="M705" s="17" t="s">
        <v>157</v>
      </c>
    </row>
    <row r="706" ht="10.95" customHeight="true" customFormat="true" s="9">
      <c r="A706" s="20" t="s">
        <v>521</v>
      </c>
      <c r="B706" s="20"/>
      <c r="C706" s="20"/>
      <c r="D706" s="20"/>
      <c r="E706" s="20"/>
      <c r="F706" s="20"/>
      <c r="G706" s="20"/>
      <c r="H706" s="21">
        <f ca="1">SUM(H694:H705)</f>
        <v>0</v>
      </c>
      <c r="I706" s="21">
        <f ca="1">SUM(I694:I705)</f>
        <v>0</v>
      </c>
      <c r="J706" s="21">
        <f ca="1">J705</f>
        <v>0</v>
      </c>
      <c r="K706" s="21">
        <f ca="1">SUM(K694:K705)</f>
        <v>0</v>
      </c>
      <c r="L706" s="20"/>
      <c r="M706" s="20"/>
    </row>
    <row r="707" ht="10.95" customHeight="true" customFormat="true" s="9">
      <c r="A707" s="20" t="s">
        <v>25</v>
      </c>
      <c r="B707" s="20"/>
      <c r="C707" s="20"/>
      <c r="D707" s="20"/>
      <c r="E707" s="20"/>
      <c r="F707" s="20"/>
      <c r="G707" s="20"/>
      <c r="H707" s="21">
        <v>8878.0400</v>
      </c>
      <c r="I707" s="21">
        <v>0</v>
      </c>
      <c r="J707" s="21">
        <v>0</v>
      </c>
      <c r="K707" s="21">
        <v>0</v>
      </c>
      <c r="L707" s="20"/>
      <c r="M707" s="20"/>
    </row>
    <row r="708" ht="10.95" customHeight="true" customFormat="true" s="9">
      <c r="A708" s="10" t="s">
        <v>26</v>
      </c>
      <c r="B708" s="10"/>
      <c r="C708" s="10"/>
      <c r="D708" s="10"/>
      <c r="E708" s="10"/>
      <c r="F708" s="10"/>
      <c r="G708" s="10"/>
      <c r="H708" s="11">
        <v>8878.0400</v>
      </c>
      <c r="I708" s="11">
        <v>0</v>
      </c>
      <c r="J708" s="11">
        <f ca="1">J705</f>
        <v>0</v>
      </c>
      <c r="K708" s="11">
        <v>0</v>
      </c>
      <c r="L708" s="10"/>
      <c r="M708" s="10"/>
    </row>
    <row r="709" ht="13.35" customHeight="true"/>
    <row r="710" ht="12.1" customHeight="true" customFormat="true" s="5">
      <c r="A710" s="8" t="s">
        <v>522</v>
      </c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</row>
    <row r="711" ht="10.95" customHeight="true" customFormat="true" s="9">
      <c r="A711" s="10" t="s">
        <v>17</v>
      </c>
      <c r="B711" s="10"/>
      <c r="C711" s="10"/>
      <c r="D711" s="10"/>
      <c r="E711" s="10"/>
      <c r="F711" s="10"/>
      <c r="G711" s="10"/>
      <c r="H711" s="11">
        <v>0</v>
      </c>
      <c r="I711" s="11">
        <v>0</v>
      </c>
      <c r="J711" s="11">
        <f ca="1">(H711 - I711)</f>
        <v>0</v>
      </c>
      <c r="K711" s="11">
        <v>0</v>
      </c>
      <c r="L711" s="10"/>
      <c r="M711" s="10"/>
    </row>
    <row r="712" ht="21.3" customHeight="true" customFormat="true" s="9">
      <c r="A712" s="12">
        <v>45747</v>
      </c>
      <c r="B712" s="13" t="s">
        <v>523</v>
      </c>
      <c r="C712" s="13" t="s">
        <v>332</v>
      </c>
      <c r="D712" s="13" t="s">
        <v>524</v>
      </c>
      <c r="E712" s="13" t="s">
        <v>154</v>
      </c>
      <c r="F712" s="22" t="s">
        <v>525</v>
      </c>
      <c r="G712" s="13" t="s">
        <v>156</v>
      </c>
      <c r="H712" s="14">
        <v>17627.1100</v>
      </c>
      <c r="I712" s="14">
        <v>0</v>
      </c>
      <c r="J712" s="14">
        <f ca="1">((J711 + H712) - I712)</f>
        <v>0</v>
      </c>
      <c r="K712" s="14">
        <v>0</v>
      </c>
      <c r="L712" s="15">
        <v>0</v>
      </c>
      <c r="M712" s="13" t="s">
        <v>157</v>
      </c>
    </row>
    <row r="713" ht="10.95" customHeight="true" customFormat="true" s="9">
      <c r="A713" s="20" t="s">
        <v>526</v>
      </c>
      <c r="B713" s="20"/>
      <c r="C713" s="20"/>
      <c r="D713" s="20"/>
      <c r="E713" s="20"/>
      <c r="F713" s="20"/>
      <c r="G713" s="20"/>
      <c r="H713" s="21">
        <f ca="1">H712</f>
        <v>0</v>
      </c>
      <c r="I713" s="21">
        <f ca="1">I712</f>
        <v>0</v>
      </c>
      <c r="J713" s="21">
        <f ca="1">J712</f>
        <v>0</v>
      </c>
      <c r="K713" s="21">
        <f ca="1">K712</f>
        <v>0</v>
      </c>
      <c r="L713" s="20"/>
      <c r="M713" s="20"/>
    </row>
    <row r="714" ht="10.95" customHeight="true" customFormat="true" s="9">
      <c r="A714" s="20" t="s">
        <v>25</v>
      </c>
      <c r="B714" s="20"/>
      <c r="C714" s="20"/>
      <c r="D714" s="20"/>
      <c r="E714" s="20"/>
      <c r="F714" s="20"/>
      <c r="G714" s="20"/>
      <c r="H714" s="21">
        <v>17627.1100</v>
      </c>
      <c r="I714" s="21">
        <v>0</v>
      </c>
      <c r="J714" s="21">
        <v>0</v>
      </c>
      <c r="K714" s="21">
        <v>0</v>
      </c>
      <c r="L714" s="20"/>
      <c r="M714" s="20"/>
    </row>
    <row r="715" ht="10.95" customHeight="true" customFormat="true" s="9">
      <c r="A715" s="10" t="s">
        <v>26</v>
      </c>
      <c r="B715" s="10"/>
      <c r="C715" s="10"/>
      <c r="D715" s="10"/>
      <c r="E715" s="10"/>
      <c r="F715" s="10"/>
      <c r="G715" s="10"/>
      <c r="H715" s="11">
        <v>17627.1100</v>
      </c>
      <c r="I715" s="11">
        <v>0</v>
      </c>
      <c r="J715" s="11">
        <f ca="1">J712</f>
        <v>0</v>
      </c>
      <c r="K715" s="11">
        <v>0</v>
      </c>
      <c r="L715" s="10"/>
      <c r="M715" s="10"/>
    </row>
    <row r="716" ht="13.35" customHeight="true"/>
    <row r="717" ht="12.1" customHeight="true" customFormat="true" s="5">
      <c r="A717" s="8" t="s">
        <v>527</v>
      </c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</row>
    <row r="718" ht="10.95" customHeight="true" customFormat="true" s="9">
      <c r="A718" s="10" t="s">
        <v>17</v>
      </c>
      <c r="B718" s="10"/>
      <c r="C718" s="10"/>
      <c r="D718" s="10"/>
      <c r="E718" s="10"/>
      <c r="F718" s="10"/>
      <c r="G718" s="10"/>
      <c r="H718" s="11">
        <v>0</v>
      </c>
      <c r="I718" s="11">
        <v>0</v>
      </c>
      <c r="J718" s="11">
        <f ca="1">(H718 - I718)</f>
        <v>0</v>
      </c>
      <c r="K718" s="11">
        <v>0</v>
      </c>
      <c r="L718" s="10"/>
      <c r="M718" s="10"/>
    </row>
    <row r="719" ht="10.95" customHeight="true" customFormat="true" s="9">
      <c r="A719" s="12">
        <v>45747</v>
      </c>
      <c r="B719" s="13" t="s">
        <v>528</v>
      </c>
      <c r="C719" s="13" t="s">
        <v>332</v>
      </c>
      <c r="D719" s="13" t="s">
        <v>529</v>
      </c>
      <c r="E719" s="13"/>
      <c r="F719" s="13" t="s">
        <v>23</v>
      </c>
      <c r="G719" s="13"/>
      <c r="H719" s="14">
        <v>0</v>
      </c>
      <c r="I719" s="14">
        <v>4241.8200</v>
      </c>
      <c r="J719" s="14">
        <f ca="1">((J718 + H719) - I719)</f>
        <v>0</v>
      </c>
      <c r="K719" s="14">
        <v>0</v>
      </c>
      <c r="L719" s="15">
        <v>0</v>
      </c>
      <c r="M719" s="13"/>
    </row>
    <row r="720" ht="10.95" customHeight="true" customFormat="true" s="9">
      <c r="A720" s="20" t="s">
        <v>530</v>
      </c>
      <c r="B720" s="20"/>
      <c r="C720" s="20"/>
      <c r="D720" s="20"/>
      <c r="E720" s="20"/>
      <c r="F720" s="20"/>
      <c r="G720" s="20"/>
      <c r="H720" s="21">
        <f ca="1">H719</f>
        <v>0</v>
      </c>
      <c r="I720" s="21">
        <f ca="1">I719</f>
        <v>0</v>
      </c>
      <c r="J720" s="21">
        <f ca="1">J719</f>
        <v>0</v>
      </c>
      <c r="K720" s="21">
        <f ca="1">K719</f>
        <v>0</v>
      </c>
      <c r="L720" s="20"/>
      <c r="M720" s="20"/>
    </row>
    <row r="721" ht="10.95" customHeight="true" customFormat="true" s="9">
      <c r="A721" s="20" t="s">
        <v>25</v>
      </c>
      <c r="B721" s="20"/>
      <c r="C721" s="20"/>
      <c r="D721" s="20"/>
      <c r="E721" s="20"/>
      <c r="F721" s="20"/>
      <c r="G721" s="20"/>
      <c r="H721" s="21">
        <v>0</v>
      </c>
      <c r="I721" s="21">
        <v>4241.8200</v>
      </c>
      <c r="J721" s="21">
        <v>0</v>
      </c>
      <c r="K721" s="21">
        <v>0</v>
      </c>
      <c r="L721" s="20"/>
      <c r="M721" s="20"/>
    </row>
    <row r="722" ht="10.95" customHeight="true" customFormat="true" s="9">
      <c r="A722" s="10" t="s">
        <v>26</v>
      </c>
      <c r="B722" s="10"/>
      <c r="C722" s="10"/>
      <c r="D722" s="10"/>
      <c r="E722" s="10"/>
      <c r="F722" s="10"/>
      <c r="G722" s="10"/>
      <c r="H722" s="11">
        <v>0</v>
      </c>
      <c r="I722" s="11">
        <v>4241.8200</v>
      </c>
      <c r="J722" s="11">
        <f ca="1">J719</f>
        <v>0</v>
      </c>
      <c r="K722" s="11">
        <v>0</v>
      </c>
      <c r="L722" s="10"/>
      <c r="M722" s="10"/>
    </row>
    <row r="723" ht="13.35" customHeight="true"/>
    <row r="724" ht="12.1" customHeight="true" customFormat="true" s="5">
      <c r="A724" s="8" t="s">
        <v>531</v>
      </c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</row>
    <row r="725" ht="10.95" customHeight="true" customFormat="true" s="9">
      <c r="A725" s="10" t="s">
        <v>17</v>
      </c>
      <c r="B725" s="10"/>
      <c r="C725" s="10"/>
      <c r="D725" s="10"/>
      <c r="E725" s="10"/>
      <c r="F725" s="10"/>
      <c r="G725" s="10"/>
      <c r="H725" s="11">
        <v>0</v>
      </c>
      <c r="I725" s="11">
        <v>0</v>
      </c>
      <c r="J725" s="11">
        <f ca="1">(H725 - I725)</f>
        <v>0</v>
      </c>
      <c r="K725" s="11">
        <v>0</v>
      </c>
      <c r="L725" s="10"/>
      <c r="M725" s="10"/>
    </row>
    <row r="726" ht="10.95" customHeight="true" customFormat="true" s="9">
      <c r="A726" s="12">
        <v>45747</v>
      </c>
      <c r="B726" s="13" t="s">
        <v>532</v>
      </c>
      <c r="C726" s="13" t="s">
        <v>332</v>
      </c>
      <c r="D726" s="13" t="s">
        <v>533</v>
      </c>
      <c r="E726" s="13"/>
      <c r="F726" s="13" t="s">
        <v>23</v>
      </c>
      <c r="G726" s="13"/>
      <c r="H726" s="14">
        <v>30304.8800</v>
      </c>
      <c r="I726" s="14">
        <v>0</v>
      </c>
      <c r="J726" s="14">
        <f ca="1">((J725 + H726) - I726)</f>
        <v>0</v>
      </c>
      <c r="K726" s="14">
        <v>0</v>
      </c>
      <c r="L726" s="15">
        <v>0</v>
      </c>
      <c r="M726" s="13"/>
    </row>
    <row r="727" ht="10.95" customHeight="true" customFormat="true" s="9">
      <c r="A727" s="20" t="s">
        <v>534</v>
      </c>
      <c r="B727" s="20"/>
      <c r="C727" s="20"/>
      <c r="D727" s="20"/>
      <c r="E727" s="20"/>
      <c r="F727" s="20"/>
      <c r="G727" s="20"/>
      <c r="H727" s="21">
        <f ca="1">H726</f>
        <v>0</v>
      </c>
      <c r="I727" s="21">
        <f ca="1">I726</f>
        <v>0</v>
      </c>
      <c r="J727" s="21">
        <f ca="1">J726</f>
        <v>0</v>
      </c>
      <c r="K727" s="21">
        <f ca="1">K726</f>
        <v>0</v>
      </c>
      <c r="L727" s="20"/>
      <c r="M727" s="20"/>
    </row>
    <row r="728" ht="10.95" customHeight="true" customFormat="true" s="9">
      <c r="A728" s="20" t="s">
        <v>25</v>
      </c>
      <c r="B728" s="20"/>
      <c r="C728" s="20"/>
      <c r="D728" s="20"/>
      <c r="E728" s="20"/>
      <c r="F728" s="20"/>
      <c r="G728" s="20"/>
      <c r="H728" s="21">
        <v>30304.8800</v>
      </c>
      <c r="I728" s="21">
        <v>0</v>
      </c>
      <c r="J728" s="21">
        <v>0</v>
      </c>
      <c r="K728" s="21">
        <v>0</v>
      </c>
      <c r="L728" s="20"/>
      <c r="M728" s="20"/>
    </row>
    <row r="729" ht="10.95" customHeight="true" customFormat="true" s="9">
      <c r="A729" s="10" t="s">
        <v>26</v>
      </c>
      <c r="B729" s="10"/>
      <c r="C729" s="10"/>
      <c r="D729" s="10"/>
      <c r="E729" s="10"/>
      <c r="F729" s="10"/>
      <c r="G729" s="10"/>
      <c r="H729" s="11">
        <v>30304.8800</v>
      </c>
      <c r="I729" s="11">
        <v>0</v>
      </c>
      <c r="J729" s="11">
        <f ca="1">J726</f>
        <v>0</v>
      </c>
      <c r="K729" s="11">
        <v>0</v>
      </c>
      <c r="L729" s="10"/>
      <c r="M729" s="10"/>
    </row>
    <row r="730" ht="13.35" customHeight="true"/>
    <row r="731" ht="12.1" customHeight="true" customFormat="true" s="5">
      <c r="A731" s="8" t="s">
        <v>535</v>
      </c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</row>
    <row r="732" ht="10.95" customHeight="true" customFormat="true" s="9">
      <c r="A732" s="10" t="s">
        <v>17</v>
      </c>
      <c r="B732" s="10"/>
      <c r="C732" s="10"/>
      <c r="D732" s="10"/>
      <c r="E732" s="10"/>
      <c r="F732" s="10"/>
      <c r="G732" s="10"/>
      <c r="H732" s="11">
        <v>0</v>
      </c>
      <c r="I732" s="11">
        <v>0</v>
      </c>
      <c r="J732" s="11">
        <f ca="1">(H732 - I732)</f>
        <v>0</v>
      </c>
      <c r="K732" s="11">
        <v>0</v>
      </c>
      <c r="L732" s="10"/>
      <c r="M732" s="10"/>
    </row>
    <row r="733" ht="10.95" customHeight="true" customFormat="true" s="9">
      <c r="A733" s="12">
        <v>45394</v>
      </c>
      <c r="B733" s="13" t="s">
        <v>536</v>
      </c>
      <c r="C733" s="13" t="s">
        <v>332</v>
      </c>
      <c r="D733" s="13" t="s">
        <v>537</v>
      </c>
      <c r="E733" s="13" t="s">
        <v>70</v>
      </c>
      <c r="F733" s="13" t="s">
        <v>71</v>
      </c>
      <c r="G733" s="13" t="s">
        <v>72</v>
      </c>
      <c r="H733" s="14">
        <v>0</v>
      </c>
      <c r="I733" s="14">
        <v>837.5900</v>
      </c>
      <c r="J733" s="14">
        <f ca="1">((J732 + H733) - I733)</f>
        <v>0</v>
      </c>
      <c r="K733" s="14">
        <v>0</v>
      </c>
      <c r="L733" s="15">
        <v>0</v>
      </c>
      <c r="M733" s="13"/>
    </row>
    <row r="734" ht="10.95" customHeight="true" customFormat="true" s="9">
      <c r="A734" s="16">
        <v>45414</v>
      </c>
      <c r="B734" s="17" t="s">
        <v>536</v>
      </c>
      <c r="C734" s="17" t="s">
        <v>332</v>
      </c>
      <c r="D734" s="17" t="s">
        <v>537</v>
      </c>
      <c r="E734" s="17" t="s">
        <v>70</v>
      </c>
      <c r="F734" s="17" t="s">
        <v>71</v>
      </c>
      <c r="G734" s="17" t="s">
        <v>73</v>
      </c>
      <c r="H734" s="18">
        <v>47.3900</v>
      </c>
      <c r="I734" s="18">
        <v>0</v>
      </c>
      <c r="J734" s="18">
        <f ca="1">((J733 + H734) - I734)</f>
        <v>0</v>
      </c>
      <c r="K734" s="18">
        <v>0</v>
      </c>
      <c r="L734" s="19">
        <v>0</v>
      </c>
      <c r="M734" s="17"/>
    </row>
    <row r="735" ht="10.95" customHeight="true" customFormat="true" s="9">
      <c r="A735" s="16">
        <v>45414</v>
      </c>
      <c r="B735" s="17" t="s">
        <v>536</v>
      </c>
      <c r="C735" s="17" t="s">
        <v>332</v>
      </c>
      <c r="D735" s="17" t="s">
        <v>537</v>
      </c>
      <c r="E735" s="17" t="s">
        <v>70</v>
      </c>
      <c r="F735" s="17" t="s">
        <v>74</v>
      </c>
      <c r="G735" s="17" t="s">
        <v>75</v>
      </c>
      <c r="H735" s="18">
        <v>219.9100</v>
      </c>
      <c r="I735" s="18">
        <v>0</v>
      </c>
      <c r="J735" s="18">
        <f ca="1">((J734 + H735) - I735)</f>
        <v>0</v>
      </c>
      <c r="K735" s="18">
        <v>0</v>
      </c>
      <c r="L735" s="19">
        <v>0</v>
      </c>
      <c r="M735" s="17"/>
    </row>
    <row r="736" ht="10.95" customHeight="true" customFormat="true" s="9">
      <c r="A736" s="16">
        <v>45432</v>
      </c>
      <c r="B736" s="17" t="s">
        <v>536</v>
      </c>
      <c r="C736" s="17" t="s">
        <v>332</v>
      </c>
      <c r="D736" s="17" t="s">
        <v>537</v>
      </c>
      <c r="E736" s="17" t="s">
        <v>36</v>
      </c>
      <c r="F736" s="17" t="s">
        <v>76</v>
      </c>
      <c r="G736" s="17" t="s">
        <v>77</v>
      </c>
      <c r="H736" s="18">
        <v>0</v>
      </c>
      <c r="I736" s="18">
        <v>3047.4700</v>
      </c>
      <c r="J736" s="18">
        <f ca="1">((J735 + H736) - I736)</f>
        <v>0</v>
      </c>
      <c r="K736" s="18">
        <v>0</v>
      </c>
      <c r="L736" s="19">
        <v>0</v>
      </c>
      <c r="M736" s="17"/>
    </row>
    <row r="737" ht="10.95" customHeight="true" customFormat="true" s="9">
      <c r="A737" s="16">
        <v>45432</v>
      </c>
      <c r="B737" s="17" t="s">
        <v>536</v>
      </c>
      <c r="C737" s="17" t="s">
        <v>332</v>
      </c>
      <c r="D737" s="17" t="s">
        <v>537</v>
      </c>
      <c r="E737" s="17" t="s">
        <v>36</v>
      </c>
      <c r="F737" s="17" t="s">
        <v>76</v>
      </c>
      <c r="G737" s="17" t="s">
        <v>78</v>
      </c>
      <c r="H737" s="18">
        <v>0</v>
      </c>
      <c r="I737" s="18">
        <v>235.9200</v>
      </c>
      <c r="J737" s="18">
        <f ca="1">((J736 + H737) - I737)</f>
        <v>0</v>
      </c>
      <c r="K737" s="18">
        <v>0</v>
      </c>
      <c r="L737" s="19">
        <v>0</v>
      </c>
      <c r="M737" s="17"/>
    </row>
    <row r="738" ht="10.95" customHeight="true" customFormat="true" s="9">
      <c r="A738" s="16">
        <v>45432</v>
      </c>
      <c r="B738" s="17" t="s">
        <v>536</v>
      </c>
      <c r="C738" s="17" t="s">
        <v>332</v>
      </c>
      <c r="D738" s="17" t="s">
        <v>537</v>
      </c>
      <c r="E738" s="17" t="s">
        <v>36</v>
      </c>
      <c r="F738" s="17" t="s">
        <v>76</v>
      </c>
      <c r="G738" s="17" t="s">
        <v>79</v>
      </c>
      <c r="H738" s="18">
        <v>0</v>
      </c>
      <c r="I738" s="18">
        <v>465.8500</v>
      </c>
      <c r="J738" s="18">
        <f ca="1">((J737 + H738) - I738)</f>
        <v>0</v>
      </c>
      <c r="K738" s="18">
        <v>0</v>
      </c>
      <c r="L738" s="19">
        <v>0</v>
      </c>
      <c r="M738" s="17"/>
    </row>
    <row r="739" ht="10.95" customHeight="true" customFormat="true" s="9">
      <c r="A739" s="16">
        <v>45432</v>
      </c>
      <c r="B739" s="17" t="s">
        <v>536</v>
      </c>
      <c r="C739" s="17" t="s">
        <v>332</v>
      </c>
      <c r="D739" s="17" t="s">
        <v>537</v>
      </c>
      <c r="E739" s="17" t="s">
        <v>36</v>
      </c>
      <c r="F739" s="17" t="s">
        <v>76</v>
      </c>
      <c r="G739" s="17" t="s">
        <v>80</v>
      </c>
      <c r="H739" s="18">
        <v>0</v>
      </c>
      <c r="I739" s="18">
        <v>381.1300</v>
      </c>
      <c r="J739" s="18">
        <f ca="1">((J738 + H739) - I739)</f>
        <v>0</v>
      </c>
      <c r="K739" s="18">
        <v>0</v>
      </c>
      <c r="L739" s="19">
        <v>0</v>
      </c>
      <c r="M739" s="17"/>
    </row>
    <row r="740" ht="10.95" customHeight="true" customFormat="true" s="9">
      <c r="A740" s="16">
        <v>45443</v>
      </c>
      <c r="B740" s="17" t="s">
        <v>536</v>
      </c>
      <c r="C740" s="17" t="s">
        <v>332</v>
      </c>
      <c r="D740" s="17" t="s">
        <v>537</v>
      </c>
      <c r="E740" s="17" t="s">
        <v>70</v>
      </c>
      <c r="F740" s="17" t="s">
        <v>71</v>
      </c>
      <c r="G740" s="17" t="s">
        <v>81</v>
      </c>
      <c r="H740" s="18">
        <v>4620.3400</v>
      </c>
      <c r="I740" s="18">
        <v>0</v>
      </c>
      <c r="J740" s="18">
        <f ca="1">((J739 + H740) - I740)</f>
        <v>0</v>
      </c>
      <c r="K740" s="18">
        <v>0</v>
      </c>
      <c r="L740" s="19">
        <v>0</v>
      </c>
      <c r="M740" s="17"/>
    </row>
    <row r="741" ht="10.95" customHeight="true" customFormat="true" s="9">
      <c r="A741" s="16">
        <v>45450</v>
      </c>
      <c r="B741" s="17" t="s">
        <v>536</v>
      </c>
      <c r="C741" s="17" t="s">
        <v>332</v>
      </c>
      <c r="D741" s="17" t="s">
        <v>537</v>
      </c>
      <c r="E741" s="17" t="s">
        <v>70</v>
      </c>
      <c r="F741" s="17" t="s">
        <v>71</v>
      </c>
      <c r="G741" s="17" t="s">
        <v>82</v>
      </c>
      <c r="H741" s="18">
        <v>1910.0500</v>
      </c>
      <c r="I741" s="18">
        <v>0</v>
      </c>
      <c r="J741" s="18">
        <f ca="1">((J740 + H741) - I741)</f>
        <v>0</v>
      </c>
      <c r="K741" s="18">
        <v>0</v>
      </c>
      <c r="L741" s="19">
        <v>0</v>
      </c>
      <c r="M741" s="17"/>
    </row>
    <row r="742" ht="10.95" customHeight="true" customFormat="true" s="9">
      <c r="A742" s="16">
        <v>45450</v>
      </c>
      <c r="B742" s="17" t="s">
        <v>536</v>
      </c>
      <c r="C742" s="17" t="s">
        <v>332</v>
      </c>
      <c r="D742" s="17" t="s">
        <v>537</v>
      </c>
      <c r="E742" s="17" t="s">
        <v>70</v>
      </c>
      <c r="F742" s="17" t="s">
        <v>71</v>
      </c>
      <c r="G742" s="17" t="s">
        <v>83</v>
      </c>
      <c r="H742" s="18">
        <v>2064.3100</v>
      </c>
      <c r="I742" s="18">
        <v>0</v>
      </c>
      <c r="J742" s="18">
        <f ca="1">((J741 + H742) - I742)</f>
        <v>0</v>
      </c>
      <c r="K742" s="18">
        <v>0</v>
      </c>
      <c r="L742" s="19">
        <v>0</v>
      </c>
      <c r="M742" s="17"/>
    </row>
    <row r="743" ht="10.95" customHeight="true" customFormat="true" s="9">
      <c r="A743" s="16">
        <v>45450</v>
      </c>
      <c r="B743" s="17" t="s">
        <v>536</v>
      </c>
      <c r="C743" s="17" t="s">
        <v>332</v>
      </c>
      <c r="D743" s="17" t="s">
        <v>537</v>
      </c>
      <c r="E743" s="17" t="s">
        <v>70</v>
      </c>
      <c r="F743" s="17" t="s">
        <v>74</v>
      </c>
      <c r="G743" s="17" t="s">
        <v>85</v>
      </c>
      <c r="H743" s="18">
        <v>0</v>
      </c>
      <c r="I743" s="18">
        <v>399.3200</v>
      </c>
      <c r="J743" s="18">
        <f ca="1">((J742 + H743) - I743)</f>
        <v>0</v>
      </c>
      <c r="K743" s="18">
        <v>0</v>
      </c>
      <c r="L743" s="19">
        <v>0</v>
      </c>
      <c r="M743" s="17"/>
    </row>
    <row r="744" ht="10.95" customHeight="true" customFormat="true" s="9">
      <c r="A744" s="16">
        <v>45472</v>
      </c>
      <c r="B744" s="17" t="s">
        <v>536</v>
      </c>
      <c r="C744" s="17" t="s">
        <v>332</v>
      </c>
      <c r="D744" s="17" t="s">
        <v>537</v>
      </c>
      <c r="E744" s="17" t="s">
        <v>70</v>
      </c>
      <c r="F744" s="17" t="s">
        <v>74</v>
      </c>
      <c r="G744" s="17" t="s">
        <v>86</v>
      </c>
      <c r="H744" s="18">
        <v>202.0200</v>
      </c>
      <c r="I744" s="18">
        <v>0</v>
      </c>
      <c r="J744" s="18">
        <f ca="1">((J743 + H744) - I744)</f>
        <v>0</v>
      </c>
      <c r="K744" s="18">
        <v>0</v>
      </c>
      <c r="L744" s="19">
        <v>0</v>
      </c>
      <c r="M744" s="17"/>
    </row>
    <row r="745" ht="10.95" customHeight="true" customFormat="true" s="9">
      <c r="A745" s="16">
        <v>45478</v>
      </c>
      <c r="B745" s="17" t="s">
        <v>536</v>
      </c>
      <c r="C745" s="17" t="s">
        <v>332</v>
      </c>
      <c r="D745" s="17" t="s">
        <v>537</v>
      </c>
      <c r="E745" s="17" t="s">
        <v>70</v>
      </c>
      <c r="F745" s="17" t="s">
        <v>71</v>
      </c>
      <c r="G745" s="17" t="s">
        <v>88</v>
      </c>
      <c r="H745" s="18">
        <v>10072.0800</v>
      </c>
      <c r="I745" s="18">
        <v>0</v>
      </c>
      <c r="J745" s="18">
        <f ca="1">((J744 + H745) - I745)</f>
        <v>0</v>
      </c>
      <c r="K745" s="18">
        <v>0</v>
      </c>
      <c r="L745" s="19">
        <v>0</v>
      </c>
      <c r="M745" s="17"/>
    </row>
    <row r="746" ht="10.95" customHeight="true" customFormat="true" s="9">
      <c r="A746" s="16">
        <v>45506</v>
      </c>
      <c r="B746" s="17" t="s">
        <v>536</v>
      </c>
      <c r="C746" s="17" t="s">
        <v>332</v>
      </c>
      <c r="D746" s="17" t="s">
        <v>537</v>
      </c>
      <c r="E746" s="17" t="s">
        <v>70</v>
      </c>
      <c r="F746" s="17" t="s">
        <v>71</v>
      </c>
      <c r="G746" s="17" t="s">
        <v>89</v>
      </c>
      <c r="H746" s="18">
        <v>0.0400</v>
      </c>
      <c r="I746" s="18">
        <v>0</v>
      </c>
      <c r="J746" s="18">
        <f ca="1">((J745 + H746) - I746)</f>
        <v>0</v>
      </c>
      <c r="K746" s="18">
        <v>0</v>
      </c>
      <c r="L746" s="19">
        <v>0</v>
      </c>
      <c r="M746" s="17"/>
    </row>
    <row r="747" ht="10.95" customHeight="true" customFormat="true" s="9">
      <c r="A747" s="16">
        <v>45506</v>
      </c>
      <c r="B747" s="17" t="s">
        <v>536</v>
      </c>
      <c r="C747" s="17" t="s">
        <v>332</v>
      </c>
      <c r="D747" s="17" t="s">
        <v>537</v>
      </c>
      <c r="E747" s="17" t="s">
        <v>70</v>
      </c>
      <c r="F747" s="17" t="s">
        <v>71</v>
      </c>
      <c r="G747" s="17" t="s">
        <v>90</v>
      </c>
      <c r="H747" s="18">
        <v>0</v>
      </c>
      <c r="I747" s="18">
        <v>1547.6700</v>
      </c>
      <c r="J747" s="18">
        <f ca="1">((J746 + H747) - I747)</f>
        <v>0</v>
      </c>
      <c r="K747" s="18">
        <v>0</v>
      </c>
      <c r="L747" s="19">
        <v>0</v>
      </c>
      <c r="M747" s="17"/>
    </row>
    <row r="748" ht="10.95" customHeight="true" customFormat="true" s="9">
      <c r="A748" s="16">
        <v>45510</v>
      </c>
      <c r="B748" s="17" t="s">
        <v>536</v>
      </c>
      <c r="C748" s="17" t="s">
        <v>332</v>
      </c>
      <c r="D748" s="17" t="s">
        <v>537</v>
      </c>
      <c r="E748" s="17" t="s">
        <v>70</v>
      </c>
      <c r="F748" s="17" t="s">
        <v>74</v>
      </c>
      <c r="G748" s="17" t="s">
        <v>91</v>
      </c>
      <c r="H748" s="18">
        <v>0</v>
      </c>
      <c r="I748" s="18">
        <v>338.3700</v>
      </c>
      <c r="J748" s="18">
        <f ca="1">((J747 + H748) - I748)</f>
        <v>0</v>
      </c>
      <c r="K748" s="18">
        <v>0</v>
      </c>
      <c r="L748" s="19">
        <v>0</v>
      </c>
      <c r="M748" s="17"/>
    </row>
    <row r="749" ht="10.95" customHeight="true" customFormat="true" s="9">
      <c r="A749" s="16">
        <v>45525</v>
      </c>
      <c r="B749" s="17" t="s">
        <v>536</v>
      </c>
      <c r="C749" s="17" t="s">
        <v>332</v>
      </c>
      <c r="D749" s="17" t="s">
        <v>537</v>
      </c>
      <c r="E749" s="17" t="s">
        <v>70</v>
      </c>
      <c r="F749" s="17" t="s">
        <v>71</v>
      </c>
      <c r="G749" s="17" t="s">
        <v>92</v>
      </c>
      <c r="H749" s="18">
        <v>1421.0700</v>
      </c>
      <c r="I749" s="18">
        <v>0</v>
      </c>
      <c r="J749" s="18">
        <f ca="1">((J748 + H749) - I749)</f>
        <v>0</v>
      </c>
      <c r="K749" s="18">
        <v>0</v>
      </c>
      <c r="L749" s="19">
        <v>0</v>
      </c>
      <c r="M749" s="17"/>
    </row>
    <row r="750" ht="10.95" customHeight="true" customFormat="true" s="9">
      <c r="A750" s="16">
        <v>45525</v>
      </c>
      <c r="B750" s="17" t="s">
        <v>536</v>
      </c>
      <c r="C750" s="17" t="s">
        <v>332</v>
      </c>
      <c r="D750" s="17" t="s">
        <v>537</v>
      </c>
      <c r="E750" s="17" t="s">
        <v>70</v>
      </c>
      <c r="F750" s="17" t="s">
        <v>71</v>
      </c>
      <c r="G750" s="17" t="s">
        <v>93</v>
      </c>
      <c r="H750" s="18">
        <v>1673.0600</v>
      </c>
      <c r="I750" s="18">
        <v>0</v>
      </c>
      <c r="J750" s="18">
        <f ca="1">((J749 + H750) - I750)</f>
        <v>0</v>
      </c>
      <c r="K750" s="18">
        <v>0</v>
      </c>
      <c r="L750" s="19">
        <v>0</v>
      </c>
      <c r="M750" s="17"/>
    </row>
    <row r="751" ht="10.95" customHeight="true" customFormat="true" s="9">
      <c r="A751" s="16">
        <v>45539</v>
      </c>
      <c r="B751" s="17" t="s">
        <v>536</v>
      </c>
      <c r="C751" s="17" t="s">
        <v>332</v>
      </c>
      <c r="D751" s="17" t="s">
        <v>537</v>
      </c>
      <c r="E751" s="17" t="s">
        <v>70</v>
      </c>
      <c r="F751" s="17" t="s">
        <v>74</v>
      </c>
      <c r="G751" s="17" t="s">
        <v>94</v>
      </c>
      <c r="H751" s="18">
        <v>0</v>
      </c>
      <c r="I751" s="18">
        <v>268.1500</v>
      </c>
      <c r="J751" s="18">
        <f ca="1">((J750 + H751) - I751)</f>
        <v>0</v>
      </c>
      <c r="K751" s="18">
        <v>0</v>
      </c>
      <c r="L751" s="19">
        <v>0</v>
      </c>
      <c r="M751" s="17"/>
    </row>
    <row r="752" ht="10.95" customHeight="true" customFormat="true" s="9">
      <c r="A752" s="16">
        <v>45546</v>
      </c>
      <c r="B752" s="17" t="s">
        <v>536</v>
      </c>
      <c r="C752" s="17" t="s">
        <v>332</v>
      </c>
      <c r="D752" s="17" t="s">
        <v>537</v>
      </c>
      <c r="E752" s="17" t="s">
        <v>36</v>
      </c>
      <c r="F752" s="17" t="s">
        <v>76</v>
      </c>
      <c r="G752" s="17" t="s">
        <v>101</v>
      </c>
      <c r="H752" s="18">
        <v>0</v>
      </c>
      <c r="I752" s="18">
        <v>5596.2600</v>
      </c>
      <c r="J752" s="18">
        <f ca="1">((J751 + H752) - I752)</f>
        <v>0</v>
      </c>
      <c r="K752" s="18">
        <v>0</v>
      </c>
      <c r="L752" s="19">
        <v>0</v>
      </c>
      <c r="M752" s="17"/>
    </row>
    <row r="753" ht="10.95" customHeight="true" customFormat="true" s="9">
      <c r="A753" s="16">
        <v>45546</v>
      </c>
      <c r="B753" s="17" t="s">
        <v>536</v>
      </c>
      <c r="C753" s="17" t="s">
        <v>332</v>
      </c>
      <c r="D753" s="17" t="s">
        <v>537</v>
      </c>
      <c r="E753" s="17" t="s">
        <v>36</v>
      </c>
      <c r="F753" s="17" t="s">
        <v>76</v>
      </c>
      <c r="G753" s="17" t="s">
        <v>95</v>
      </c>
      <c r="H753" s="18">
        <v>0</v>
      </c>
      <c r="I753" s="18">
        <v>4225.8800</v>
      </c>
      <c r="J753" s="18">
        <f ca="1">((J752 + H753) - I753)</f>
        <v>0</v>
      </c>
      <c r="K753" s="18">
        <v>0</v>
      </c>
      <c r="L753" s="19">
        <v>0</v>
      </c>
      <c r="M753" s="17"/>
    </row>
    <row r="754" ht="10.95" customHeight="true" customFormat="true" s="9">
      <c r="A754" s="16">
        <v>45546</v>
      </c>
      <c r="B754" s="17" t="s">
        <v>536</v>
      </c>
      <c r="C754" s="17" t="s">
        <v>332</v>
      </c>
      <c r="D754" s="17" t="s">
        <v>537</v>
      </c>
      <c r="E754" s="17" t="s">
        <v>36</v>
      </c>
      <c r="F754" s="17" t="s">
        <v>76</v>
      </c>
      <c r="G754" s="17" t="s">
        <v>102</v>
      </c>
      <c r="H754" s="18">
        <v>0</v>
      </c>
      <c r="I754" s="18">
        <v>2779.9800</v>
      </c>
      <c r="J754" s="18">
        <f ca="1">((J753 + H754) - I754)</f>
        <v>0</v>
      </c>
      <c r="K754" s="18">
        <v>0</v>
      </c>
      <c r="L754" s="19">
        <v>0</v>
      </c>
      <c r="M754" s="17"/>
    </row>
    <row r="755" ht="10.95" customHeight="true" customFormat="true" s="9">
      <c r="A755" s="16">
        <v>45546</v>
      </c>
      <c r="B755" s="17" t="s">
        <v>536</v>
      </c>
      <c r="C755" s="17" t="s">
        <v>332</v>
      </c>
      <c r="D755" s="17" t="s">
        <v>537</v>
      </c>
      <c r="E755" s="17" t="s">
        <v>36</v>
      </c>
      <c r="F755" s="17" t="s">
        <v>76</v>
      </c>
      <c r="G755" s="17" t="s">
        <v>96</v>
      </c>
      <c r="H755" s="18">
        <v>0</v>
      </c>
      <c r="I755" s="18">
        <v>2781.7200</v>
      </c>
      <c r="J755" s="18">
        <f ca="1">((J754 + H755) - I755)</f>
        <v>0</v>
      </c>
      <c r="K755" s="18">
        <v>0</v>
      </c>
      <c r="L755" s="19">
        <v>0</v>
      </c>
      <c r="M755" s="17"/>
    </row>
    <row r="756" ht="10.95" customHeight="true" customFormat="true" s="9">
      <c r="A756" s="16">
        <v>45546</v>
      </c>
      <c r="B756" s="17" t="s">
        <v>536</v>
      </c>
      <c r="C756" s="17" t="s">
        <v>332</v>
      </c>
      <c r="D756" s="17" t="s">
        <v>537</v>
      </c>
      <c r="E756" s="17" t="s">
        <v>36</v>
      </c>
      <c r="F756" s="17" t="s">
        <v>76</v>
      </c>
      <c r="G756" s="17" t="s">
        <v>103</v>
      </c>
      <c r="H756" s="18">
        <v>0</v>
      </c>
      <c r="I756" s="18">
        <v>2953.1600</v>
      </c>
      <c r="J756" s="18">
        <f ca="1">((J755 + H756) - I756)</f>
        <v>0</v>
      </c>
      <c r="K756" s="18">
        <v>0</v>
      </c>
      <c r="L756" s="19">
        <v>0</v>
      </c>
      <c r="M756" s="17"/>
    </row>
    <row r="757" ht="10.95" customHeight="true" customFormat="true" s="9">
      <c r="A757" s="16">
        <v>45546</v>
      </c>
      <c r="B757" s="17" t="s">
        <v>536</v>
      </c>
      <c r="C757" s="17" t="s">
        <v>332</v>
      </c>
      <c r="D757" s="17" t="s">
        <v>537</v>
      </c>
      <c r="E757" s="17" t="s">
        <v>36</v>
      </c>
      <c r="F757" s="17" t="s">
        <v>76</v>
      </c>
      <c r="G757" s="17" t="s">
        <v>97</v>
      </c>
      <c r="H757" s="18">
        <v>0</v>
      </c>
      <c r="I757" s="18">
        <v>86.6300</v>
      </c>
      <c r="J757" s="18">
        <f ca="1">((J756 + H757) - I757)</f>
        <v>0</v>
      </c>
      <c r="K757" s="18">
        <v>0</v>
      </c>
      <c r="L757" s="19">
        <v>0</v>
      </c>
      <c r="M757" s="17"/>
    </row>
    <row r="758" ht="10.95" customHeight="true" customFormat="true" s="9">
      <c r="A758" s="16">
        <v>45546</v>
      </c>
      <c r="B758" s="17" t="s">
        <v>536</v>
      </c>
      <c r="C758" s="17" t="s">
        <v>332</v>
      </c>
      <c r="D758" s="17" t="s">
        <v>537</v>
      </c>
      <c r="E758" s="17" t="s">
        <v>36</v>
      </c>
      <c r="F758" s="17" t="s">
        <v>76</v>
      </c>
      <c r="G758" s="17" t="s">
        <v>104</v>
      </c>
      <c r="H758" s="18">
        <v>0</v>
      </c>
      <c r="I758" s="18">
        <v>5696.7100</v>
      </c>
      <c r="J758" s="18">
        <f ca="1">((J757 + H758) - I758)</f>
        <v>0</v>
      </c>
      <c r="K758" s="18">
        <v>0</v>
      </c>
      <c r="L758" s="19">
        <v>0</v>
      </c>
      <c r="M758" s="17"/>
    </row>
    <row r="759" ht="10.95" customHeight="true" customFormat="true" s="9">
      <c r="A759" s="16">
        <v>45546</v>
      </c>
      <c r="B759" s="17" t="s">
        <v>536</v>
      </c>
      <c r="C759" s="17" t="s">
        <v>332</v>
      </c>
      <c r="D759" s="17" t="s">
        <v>537</v>
      </c>
      <c r="E759" s="17" t="s">
        <v>36</v>
      </c>
      <c r="F759" s="17" t="s">
        <v>76</v>
      </c>
      <c r="G759" s="17" t="s">
        <v>98</v>
      </c>
      <c r="H759" s="18">
        <v>0</v>
      </c>
      <c r="I759" s="18">
        <v>58.7700</v>
      </c>
      <c r="J759" s="18">
        <f ca="1">((J758 + H759) - I759)</f>
        <v>0</v>
      </c>
      <c r="K759" s="18">
        <v>0</v>
      </c>
      <c r="L759" s="19">
        <v>0</v>
      </c>
      <c r="M759" s="17"/>
    </row>
    <row r="760" ht="10.95" customHeight="true" customFormat="true" s="9">
      <c r="A760" s="16">
        <v>45546</v>
      </c>
      <c r="B760" s="17" t="s">
        <v>536</v>
      </c>
      <c r="C760" s="17" t="s">
        <v>332</v>
      </c>
      <c r="D760" s="17" t="s">
        <v>537</v>
      </c>
      <c r="E760" s="17" t="s">
        <v>36</v>
      </c>
      <c r="F760" s="17" t="s">
        <v>76</v>
      </c>
      <c r="G760" s="17" t="s">
        <v>99</v>
      </c>
      <c r="H760" s="18">
        <v>0</v>
      </c>
      <c r="I760" s="18">
        <v>430.7000</v>
      </c>
      <c r="J760" s="18">
        <f ca="1">((J759 + H760) - I760)</f>
        <v>0</v>
      </c>
      <c r="K760" s="18">
        <v>0</v>
      </c>
      <c r="L760" s="19">
        <v>0</v>
      </c>
      <c r="M760" s="17"/>
    </row>
    <row r="761" ht="10.95" customHeight="true" customFormat="true" s="9">
      <c r="A761" s="16">
        <v>45546</v>
      </c>
      <c r="B761" s="17" t="s">
        <v>536</v>
      </c>
      <c r="C761" s="17" t="s">
        <v>332</v>
      </c>
      <c r="D761" s="17" t="s">
        <v>537</v>
      </c>
      <c r="E761" s="17" t="s">
        <v>36</v>
      </c>
      <c r="F761" s="17" t="s">
        <v>76</v>
      </c>
      <c r="G761" s="17" t="s">
        <v>105</v>
      </c>
      <c r="H761" s="18">
        <v>129.4400</v>
      </c>
      <c r="I761" s="18">
        <v>0</v>
      </c>
      <c r="J761" s="18">
        <f ca="1">((J760 + H761) - I761)</f>
        <v>0</v>
      </c>
      <c r="K761" s="18">
        <v>0</v>
      </c>
      <c r="L761" s="19">
        <v>0</v>
      </c>
      <c r="M761" s="17"/>
    </row>
    <row r="762" ht="10.95" customHeight="true" customFormat="true" s="9">
      <c r="A762" s="16">
        <v>45546</v>
      </c>
      <c r="B762" s="17" t="s">
        <v>536</v>
      </c>
      <c r="C762" s="17" t="s">
        <v>332</v>
      </c>
      <c r="D762" s="17" t="s">
        <v>537</v>
      </c>
      <c r="E762" s="17" t="s">
        <v>36</v>
      </c>
      <c r="F762" s="17" t="s">
        <v>76</v>
      </c>
      <c r="G762" s="17" t="s">
        <v>100</v>
      </c>
      <c r="H762" s="18">
        <v>222.1800</v>
      </c>
      <c r="I762" s="18">
        <v>0</v>
      </c>
      <c r="J762" s="18">
        <f ca="1">((J761 + H762) - I762)</f>
        <v>0</v>
      </c>
      <c r="K762" s="18">
        <v>0</v>
      </c>
      <c r="L762" s="19">
        <v>0</v>
      </c>
      <c r="M762" s="17"/>
    </row>
    <row r="763" ht="10.95" customHeight="true" customFormat="true" s="9">
      <c r="A763" s="16">
        <v>45552</v>
      </c>
      <c r="B763" s="17" t="s">
        <v>536</v>
      </c>
      <c r="C763" s="17" t="s">
        <v>332</v>
      </c>
      <c r="D763" s="17" t="s">
        <v>537</v>
      </c>
      <c r="E763" s="17" t="s">
        <v>70</v>
      </c>
      <c r="F763" s="17" t="s">
        <v>71</v>
      </c>
      <c r="G763" s="17" t="s">
        <v>106</v>
      </c>
      <c r="H763" s="18">
        <v>3064.1200</v>
      </c>
      <c r="I763" s="18">
        <v>0</v>
      </c>
      <c r="J763" s="18">
        <f ca="1">((J762 + H763) - I763)</f>
        <v>0</v>
      </c>
      <c r="K763" s="18">
        <v>0</v>
      </c>
      <c r="L763" s="19">
        <v>0</v>
      </c>
      <c r="M763" s="17"/>
    </row>
    <row r="764" ht="10.95" customHeight="true" customFormat="true" s="9">
      <c r="A764" s="16">
        <v>45552</v>
      </c>
      <c r="B764" s="17" t="s">
        <v>536</v>
      </c>
      <c r="C764" s="17" t="s">
        <v>332</v>
      </c>
      <c r="D764" s="17" t="s">
        <v>537</v>
      </c>
      <c r="E764" s="17" t="s">
        <v>70</v>
      </c>
      <c r="F764" s="17" t="s">
        <v>71</v>
      </c>
      <c r="G764" s="17" t="s">
        <v>107</v>
      </c>
      <c r="H764" s="18">
        <v>7104.3900</v>
      </c>
      <c r="I764" s="18">
        <v>0</v>
      </c>
      <c r="J764" s="18">
        <f ca="1">((J763 + H764) - I764)</f>
        <v>0</v>
      </c>
      <c r="K764" s="18">
        <v>0</v>
      </c>
      <c r="L764" s="19">
        <v>0</v>
      </c>
      <c r="M764" s="17"/>
    </row>
    <row r="765" ht="10.95" customHeight="true" customFormat="true" s="9">
      <c r="A765" s="16">
        <v>45561</v>
      </c>
      <c r="B765" s="17" t="s">
        <v>536</v>
      </c>
      <c r="C765" s="17" t="s">
        <v>332</v>
      </c>
      <c r="D765" s="17" t="s">
        <v>537</v>
      </c>
      <c r="E765" s="17" t="s">
        <v>36</v>
      </c>
      <c r="F765" s="17" t="s">
        <v>76</v>
      </c>
      <c r="G765" s="17" t="s">
        <v>108</v>
      </c>
      <c r="H765" s="18">
        <v>0</v>
      </c>
      <c r="I765" s="18">
        <v>4402.4100</v>
      </c>
      <c r="J765" s="18">
        <f ca="1">((J764 + H765) - I765)</f>
        <v>0</v>
      </c>
      <c r="K765" s="18">
        <v>0</v>
      </c>
      <c r="L765" s="19">
        <v>0</v>
      </c>
      <c r="M765" s="17"/>
    </row>
    <row r="766" ht="10.95" customHeight="true" customFormat="true" s="9">
      <c r="A766" s="16">
        <v>45561</v>
      </c>
      <c r="B766" s="17" t="s">
        <v>536</v>
      </c>
      <c r="C766" s="17" t="s">
        <v>332</v>
      </c>
      <c r="D766" s="17" t="s">
        <v>537</v>
      </c>
      <c r="E766" s="17" t="s">
        <v>36</v>
      </c>
      <c r="F766" s="17" t="s">
        <v>76</v>
      </c>
      <c r="G766" s="17" t="s">
        <v>109</v>
      </c>
      <c r="H766" s="18">
        <v>0</v>
      </c>
      <c r="I766" s="18">
        <v>7590.4000</v>
      </c>
      <c r="J766" s="18">
        <f ca="1">((J765 + H766) - I766)</f>
        <v>0</v>
      </c>
      <c r="K766" s="18">
        <v>0</v>
      </c>
      <c r="L766" s="19">
        <v>0</v>
      </c>
      <c r="M766" s="17"/>
    </row>
    <row r="767" ht="10.95" customHeight="true" customFormat="true" s="9">
      <c r="A767" s="16">
        <v>45561</v>
      </c>
      <c r="B767" s="17" t="s">
        <v>536</v>
      </c>
      <c r="C767" s="17" t="s">
        <v>332</v>
      </c>
      <c r="D767" s="17" t="s">
        <v>537</v>
      </c>
      <c r="E767" s="17" t="s">
        <v>36</v>
      </c>
      <c r="F767" s="17" t="s">
        <v>76</v>
      </c>
      <c r="G767" s="17" t="s">
        <v>110</v>
      </c>
      <c r="H767" s="18">
        <v>0</v>
      </c>
      <c r="I767" s="18">
        <v>17037.1700</v>
      </c>
      <c r="J767" s="18">
        <f ca="1">((J766 + H767) - I767)</f>
        <v>0</v>
      </c>
      <c r="K767" s="18">
        <v>0</v>
      </c>
      <c r="L767" s="19">
        <v>0</v>
      </c>
      <c r="M767" s="17"/>
    </row>
    <row r="768" ht="10.95" customHeight="true" customFormat="true" s="9">
      <c r="A768" s="16">
        <v>45561</v>
      </c>
      <c r="B768" s="17" t="s">
        <v>536</v>
      </c>
      <c r="C768" s="17" t="s">
        <v>332</v>
      </c>
      <c r="D768" s="17" t="s">
        <v>537</v>
      </c>
      <c r="E768" s="17" t="s">
        <v>36</v>
      </c>
      <c r="F768" s="17" t="s">
        <v>76</v>
      </c>
      <c r="G768" s="17" t="s">
        <v>111</v>
      </c>
      <c r="H768" s="18">
        <v>0</v>
      </c>
      <c r="I768" s="18">
        <v>479.4300</v>
      </c>
      <c r="J768" s="18">
        <f ca="1">((J767 + H768) - I768)</f>
        <v>0</v>
      </c>
      <c r="K768" s="18">
        <v>0</v>
      </c>
      <c r="L768" s="19">
        <v>0</v>
      </c>
      <c r="M768" s="17"/>
    </row>
    <row r="769" ht="10.95" customHeight="true" customFormat="true" s="9">
      <c r="A769" s="16">
        <v>45561</v>
      </c>
      <c r="B769" s="17" t="s">
        <v>536</v>
      </c>
      <c r="C769" s="17" t="s">
        <v>332</v>
      </c>
      <c r="D769" s="17" t="s">
        <v>537</v>
      </c>
      <c r="E769" s="17" t="s">
        <v>36</v>
      </c>
      <c r="F769" s="17" t="s">
        <v>76</v>
      </c>
      <c r="G769" s="17" t="s">
        <v>112</v>
      </c>
      <c r="H769" s="18">
        <v>0</v>
      </c>
      <c r="I769" s="18">
        <v>3469.0700</v>
      </c>
      <c r="J769" s="18">
        <f ca="1">((J768 + H769) - I769)</f>
        <v>0</v>
      </c>
      <c r="K769" s="18">
        <v>0</v>
      </c>
      <c r="L769" s="19">
        <v>0</v>
      </c>
      <c r="M769" s="17"/>
    </row>
    <row r="770" ht="10.95" customHeight="true" customFormat="true" s="9">
      <c r="A770" s="16">
        <v>45565</v>
      </c>
      <c r="B770" s="17" t="s">
        <v>536</v>
      </c>
      <c r="C770" s="17" t="s">
        <v>332</v>
      </c>
      <c r="D770" s="17" t="s">
        <v>537</v>
      </c>
      <c r="E770" s="17" t="s">
        <v>538</v>
      </c>
      <c r="F770" s="17" t="s">
        <v>84</v>
      </c>
      <c r="G770" s="17" t="s">
        <v>114</v>
      </c>
      <c r="H770" s="18">
        <v>38.9500</v>
      </c>
      <c r="I770" s="18">
        <v>0</v>
      </c>
      <c r="J770" s="18">
        <f ca="1">((J769 + H770) - I770)</f>
        <v>0</v>
      </c>
      <c r="K770" s="18">
        <v>0</v>
      </c>
      <c r="L770" s="19">
        <v>0</v>
      </c>
      <c r="M770" s="17"/>
    </row>
    <row r="771" ht="10.95" customHeight="true" customFormat="true" s="9">
      <c r="A771" s="16">
        <v>45565</v>
      </c>
      <c r="B771" s="17" t="s">
        <v>536</v>
      </c>
      <c r="C771" s="17" t="s">
        <v>332</v>
      </c>
      <c r="D771" s="17" t="s">
        <v>537</v>
      </c>
      <c r="E771" s="17" t="s">
        <v>154</v>
      </c>
      <c r="F771" s="17" t="s">
        <v>211</v>
      </c>
      <c r="G771" s="17" t="s">
        <v>168</v>
      </c>
      <c r="H771" s="18">
        <v>0</v>
      </c>
      <c r="I771" s="18">
        <v>1184.8100</v>
      </c>
      <c r="J771" s="18">
        <f ca="1">((J770 + H771) - I771)</f>
        <v>0</v>
      </c>
      <c r="K771" s="18">
        <v>0</v>
      </c>
      <c r="L771" s="19">
        <v>0</v>
      </c>
      <c r="M771" s="17" t="s">
        <v>157</v>
      </c>
    </row>
    <row r="772" ht="10.95" customHeight="true" customFormat="true" s="9">
      <c r="A772" s="16">
        <v>45568</v>
      </c>
      <c r="B772" s="17" t="s">
        <v>536</v>
      </c>
      <c r="C772" s="17" t="s">
        <v>332</v>
      </c>
      <c r="D772" s="17" t="s">
        <v>537</v>
      </c>
      <c r="E772" s="17" t="s">
        <v>70</v>
      </c>
      <c r="F772" s="17" t="s">
        <v>74</v>
      </c>
      <c r="G772" s="17" t="s">
        <v>113</v>
      </c>
      <c r="H772" s="18">
        <v>0</v>
      </c>
      <c r="I772" s="18">
        <v>578.0800</v>
      </c>
      <c r="J772" s="18">
        <f ca="1">((J771 + H772) - I772)</f>
        <v>0</v>
      </c>
      <c r="K772" s="18">
        <v>0</v>
      </c>
      <c r="L772" s="19">
        <v>0</v>
      </c>
      <c r="M772" s="17"/>
    </row>
    <row r="773" ht="10.95" customHeight="true" customFormat="true" s="9">
      <c r="A773" s="16">
        <v>45575</v>
      </c>
      <c r="B773" s="17" t="s">
        <v>536</v>
      </c>
      <c r="C773" s="17" t="s">
        <v>332</v>
      </c>
      <c r="D773" s="17" t="s">
        <v>537</v>
      </c>
      <c r="E773" s="17" t="s">
        <v>70</v>
      </c>
      <c r="F773" s="17" t="s">
        <v>71</v>
      </c>
      <c r="G773" s="17" t="s">
        <v>114</v>
      </c>
      <c r="H773" s="18">
        <v>816.9900</v>
      </c>
      <c r="I773" s="18">
        <v>0</v>
      </c>
      <c r="J773" s="18">
        <f ca="1">((J772 + H773) - I773)</f>
        <v>0</v>
      </c>
      <c r="K773" s="18">
        <v>0</v>
      </c>
      <c r="L773" s="19">
        <v>0</v>
      </c>
      <c r="M773" s="17"/>
    </row>
    <row r="774" ht="10.95" customHeight="true" customFormat="true" s="9">
      <c r="A774" s="16">
        <v>45575</v>
      </c>
      <c r="B774" s="17" t="s">
        <v>536</v>
      </c>
      <c r="C774" s="17" t="s">
        <v>332</v>
      </c>
      <c r="D774" s="17" t="s">
        <v>537</v>
      </c>
      <c r="E774" s="17" t="s">
        <v>70</v>
      </c>
      <c r="F774" s="17" t="s">
        <v>71</v>
      </c>
      <c r="G774" s="17" t="s">
        <v>115</v>
      </c>
      <c r="H774" s="18">
        <v>550.0900</v>
      </c>
      <c r="I774" s="18">
        <v>0</v>
      </c>
      <c r="J774" s="18">
        <f ca="1">((J773 + H774) - I774)</f>
        <v>0</v>
      </c>
      <c r="K774" s="18">
        <v>0</v>
      </c>
      <c r="L774" s="19">
        <v>0</v>
      </c>
      <c r="M774" s="17"/>
    </row>
    <row r="775" ht="10.95" customHeight="true" customFormat="true" s="9">
      <c r="A775" s="16">
        <v>45575</v>
      </c>
      <c r="B775" s="17" t="s">
        <v>536</v>
      </c>
      <c r="C775" s="17" t="s">
        <v>332</v>
      </c>
      <c r="D775" s="17" t="s">
        <v>537</v>
      </c>
      <c r="E775" s="17" t="s">
        <v>70</v>
      </c>
      <c r="F775" s="17" t="s">
        <v>71</v>
      </c>
      <c r="G775" s="17" t="s">
        <v>116</v>
      </c>
      <c r="H775" s="18">
        <v>869.5700</v>
      </c>
      <c r="I775" s="18">
        <v>0</v>
      </c>
      <c r="J775" s="18">
        <f ca="1">((J774 + H775) - I775)</f>
        <v>0</v>
      </c>
      <c r="K775" s="18">
        <v>0</v>
      </c>
      <c r="L775" s="19">
        <v>0</v>
      </c>
      <c r="M775" s="17"/>
    </row>
    <row r="776" ht="10.95" customHeight="true" customFormat="true" s="9">
      <c r="A776" s="16">
        <v>45583</v>
      </c>
      <c r="B776" s="17" t="s">
        <v>536</v>
      </c>
      <c r="C776" s="17" t="s">
        <v>332</v>
      </c>
      <c r="D776" s="17" t="s">
        <v>537</v>
      </c>
      <c r="E776" s="17" t="s">
        <v>70</v>
      </c>
      <c r="F776" s="17" t="s">
        <v>71</v>
      </c>
      <c r="G776" s="17" t="s">
        <v>117</v>
      </c>
      <c r="H776" s="18">
        <v>859.6000</v>
      </c>
      <c r="I776" s="18">
        <v>0</v>
      </c>
      <c r="J776" s="18">
        <f ca="1">((J775 + H776) - I776)</f>
        <v>0</v>
      </c>
      <c r="K776" s="18">
        <v>0</v>
      </c>
      <c r="L776" s="19">
        <v>0</v>
      </c>
      <c r="M776" s="17"/>
    </row>
    <row r="777" ht="10.95" customHeight="true" customFormat="true" s="9">
      <c r="A777" s="16">
        <v>45598</v>
      </c>
      <c r="B777" s="17" t="s">
        <v>536</v>
      </c>
      <c r="C777" s="17" t="s">
        <v>332</v>
      </c>
      <c r="D777" s="17" t="s">
        <v>537</v>
      </c>
      <c r="E777" s="17" t="s">
        <v>70</v>
      </c>
      <c r="F777" s="17" t="s">
        <v>74</v>
      </c>
      <c r="G777" s="17" t="s">
        <v>118</v>
      </c>
      <c r="H777" s="18">
        <v>0</v>
      </c>
      <c r="I777" s="18">
        <v>89.1000</v>
      </c>
      <c r="J777" s="18">
        <f ca="1">((J776 + H777) - I777)</f>
        <v>0</v>
      </c>
      <c r="K777" s="18">
        <v>0</v>
      </c>
      <c r="L777" s="19">
        <v>0</v>
      </c>
      <c r="M777" s="17"/>
    </row>
    <row r="778" ht="10.95" customHeight="true" customFormat="true" s="9">
      <c r="A778" s="16">
        <v>45611</v>
      </c>
      <c r="B778" s="17" t="s">
        <v>536</v>
      </c>
      <c r="C778" s="17" t="s">
        <v>332</v>
      </c>
      <c r="D778" s="17" t="s">
        <v>537</v>
      </c>
      <c r="E778" s="17" t="s">
        <v>70</v>
      </c>
      <c r="F778" s="17" t="s">
        <v>71</v>
      </c>
      <c r="G778" s="17" t="s">
        <v>119</v>
      </c>
      <c r="H778" s="18">
        <v>0</v>
      </c>
      <c r="I778" s="18">
        <v>7483.1600</v>
      </c>
      <c r="J778" s="18">
        <f ca="1">((J777 + H778) - I778)</f>
        <v>0</v>
      </c>
      <c r="K778" s="18">
        <v>0</v>
      </c>
      <c r="L778" s="19">
        <v>0</v>
      </c>
      <c r="M778" s="17"/>
    </row>
    <row r="779" ht="10.95" customHeight="true" customFormat="true" s="9">
      <c r="A779" s="16">
        <v>45611</v>
      </c>
      <c r="B779" s="17" t="s">
        <v>536</v>
      </c>
      <c r="C779" s="17" t="s">
        <v>332</v>
      </c>
      <c r="D779" s="17" t="s">
        <v>537</v>
      </c>
      <c r="E779" s="17" t="s">
        <v>70</v>
      </c>
      <c r="F779" s="17" t="s">
        <v>71</v>
      </c>
      <c r="G779" s="17" t="s">
        <v>120</v>
      </c>
      <c r="H779" s="18">
        <v>0</v>
      </c>
      <c r="I779" s="18">
        <v>3919.7500</v>
      </c>
      <c r="J779" s="18">
        <f ca="1">((J778 + H779) - I779)</f>
        <v>0</v>
      </c>
      <c r="K779" s="18">
        <v>0</v>
      </c>
      <c r="L779" s="19">
        <v>0</v>
      </c>
      <c r="M779" s="17"/>
    </row>
    <row r="780" ht="10.95" customHeight="true" customFormat="true" s="9">
      <c r="A780" s="16">
        <v>45615</v>
      </c>
      <c r="B780" s="17" t="s">
        <v>536</v>
      </c>
      <c r="C780" s="17" t="s">
        <v>332</v>
      </c>
      <c r="D780" s="17" t="s">
        <v>537</v>
      </c>
      <c r="E780" s="17" t="s">
        <v>36</v>
      </c>
      <c r="F780" s="17" t="s">
        <v>76</v>
      </c>
      <c r="G780" s="17" t="s">
        <v>121</v>
      </c>
      <c r="H780" s="18">
        <v>1843.0300</v>
      </c>
      <c r="I780" s="18">
        <v>0</v>
      </c>
      <c r="J780" s="18">
        <f ca="1">((J779 + H780) - I780)</f>
        <v>0</v>
      </c>
      <c r="K780" s="18">
        <v>0</v>
      </c>
      <c r="L780" s="19">
        <v>0</v>
      </c>
      <c r="M780" s="17"/>
    </row>
    <row r="781" ht="10.95" customHeight="true" customFormat="true" s="9">
      <c r="A781" s="16">
        <v>45615</v>
      </c>
      <c r="B781" s="17" t="s">
        <v>536</v>
      </c>
      <c r="C781" s="17" t="s">
        <v>332</v>
      </c>
      <c r="D781" s="17" t="s">
        <v>537</v>
      </c>
      <c r="E781" s="17" t="s">
        <v>36</v>
      </c>
      <c r="F781" s="17" t="s">
        <v>76</v>
      </c>
      <c r="G781" s="17" t="s">
        <v>122</v>
      </c>
      <c r="H781" s="18">
        <v>2763.1700</v>
      </c>
      <c r="I781" s="18">
        <v>0</v>
      </c>
      <c r="J781" s="18">
        <f ca="1">((J780 + H781) - I781)</f>
        <v>0</v>
      </c>
      <c r="K781" s="18">
        <v>0</v>
      </c>
      <c r="L781" s="19">
        <v>0</v>
      </c>
      <c r="M781" s="17"/>
    </row>
    <row r="782" ht="10.95" customHeight="true" customFormat="true" s="9">
      <c r="A782" s="16">
        <v>45615</v>
      </c>
      <c r="B782" s="17" t="s">
        <v>536</v>
      </c>
      <c r="C782" s="17" t="s">
        <v>332</v>
      </c>
      <c r="D782" s="17" t="s">
        <v>537</v>
      </c>
      <c r="E782" s="17" t="s">
        <v>36</v>
      </c>
      <c r="F782" s="17" t="s">
        <v>76</v>
      </c>
      <c r="G782" s="17" t="s">
        <v>123</v>
      </c>
      <c r="H782" s="18">
        <v>3190.7700</v>
      </c>
      <c r="I782" s="18">
        <v>0</v>
      </c>
      <c r="J782" s="18">
        <f ca="1">((J781 + H782) - I782)</f>
        <v>0</v>
      </c>
      <c r="K782" s="18">
        <v>0</v>
      </c>
      <c r="L782" s="19">
        <v>0</v>
      </c>
      <c r="M782" s="17"/>
    </row>
    <row r="783" ht="10.95" customHeight="true" customFormat="true" s="9">
      <c r="A783" s="16">
        <v>45615</v>
      </c>
      <c r="B783" s="17" t="s">
        <v>536</v>
      </c>
      <c r="C783" s="17" t="s">
        <v>332</v>
      </c>
      <c r="D783" s="17" t="s">
        <v>537</v>
      </c>
      <c r="E783" s="17" t="s">
        <v>36</v>
      </c>
      <c r="F783" s="17" t="s">
        <v>76</v>
      </c>
      <c r="G783" s="17" t="s">
        <v>124</v>
      </c>
      <c r="H783" s="18">
        <v>6022.3900</v>
      </c>
      <c r="I783" s="18">
        <v>0</v>
      </c>
      <c r="J783" s="18">
        <f ca="1">((J782 + H783) - I783)</f>
        <v>0</v>
      </c>
      <c r="K783" s="18">
        <v>0</v>
      </c>
      <c r="L783" s="19">
        <v>0</v>
      </c>
      <c r="M783" s="17"/>
    </row>
    <row r="784" ht="10.95" customHeight="true" customFormat="true" s="9">
      <c r="A784" s="16">
        <v>45615</v>
      </c>
      <c r="B784" s="17" t="s">
        <v>536</v>
      </c>
      <c r="C784" s="17" t="s">
        <v>332</v>
      </c>
      <c r="D784" s="17" t="s">
        <v>537</v>
      </c>
      <c r="E784" s="17" t="s">
        <v>36</v>
      </c>
      <c r="F784" s="17" t="s">
        <v>76</v>
      </c>
      <c r="G784" s="17" t="s">
        <v>125</v>
      </c>
      <c r="H784" s="18">
        <v>321.3700</v>
      </c>
      <c r="I784" s="18">
        <v>0</v>
      </c>
      <c r="J784" s="18">
        <f ca="1">((J783 + H784) - I784)</f>
        <v>0</v>
      </c>
      <c r="K784" s="18">
        <v>0</v>
      </c>
      <c r="L784" s="19">
        <v>0</v>
      </c>
      <c r="M784" s="17"/>
    </row>
    <row r="785" ht="10.95" customHeight="true" customFormat="true" s="9">
      <c r="A785" s="16">
        <v>45621</v>
      </c>
      <c r="B785" s="17" t="s">
        <v>536</v>
      </c>
      <c r="C785" s="17" t="s">
        <v>332</v>
      </c>
      <c r="D785" s="17" t="s">
        <v>537</v>
      </c>
      <c r="E785" s="17" t="s">
        <v>70</v>
      </c>
      <c r="F785" s="17" t="s">
        <v>71</v>
      </c>
      <c r="G785" s="17" t="s">
        <v>126</v>
      </c>
      <c r="H785" s="18">
        <v>0</v>
      </c>
      <c r="I785" s="18">
        <v>3992.4100</v>
      </c>
      <c r="J785" s="18">
        <f ca="1">((J784 + H785) - I785)</f>
        <v>0</v>
      </c>
      <c r="K785" s="18">
        <v>0</v>
      </c>
      <c r="L785" s="19">
        <v>0</v>
      </c>
      <c r="M785" s="17"/>
    </row>
    <row r="786" ht="10.95" customHeight="true" customFormat="true" s="9">
      <c r="A786" s="16">
        <v>45629</v>
      </c>
      <c r="B786" s="17" t="s">
        <v>536</v>
      </c>
      <c r="C786" s="17" t="s">
        <v>332</v>
      </c>
      <c r="D786" s="17" t="s">
        <v>537</v>
      </c>
      <c r="E786" s="17" t="s">
        <v>70</v>
      </c>
      <c r="F786" s="17" t="s">
        <v>74</v>
      </c>
      <c r="G786" s="17" t="s">
        <v>127</v>
      </c>
      <c r="H786" s="18">
        <v>0</v>
      </c>
      <c r="I786" s="18">
        <v>146.3800</v>
      </c>
      <c r="J786" s="18">
        <f ca="1">((J785 + H786) - I786)</f>
        <v>0</v>
      </c>
      <c r="K786" s="18">
        <v>0</v>
      </c>
      <c r="L786" s="19">
        <v>0</v>
      </c>
      <c r="M786" s="17"/>
    </row>
    <row r="787" ht="10.95" customHeight="true" customFormat="true" s="9">
      <c r="A787" s="16">
        <v>45635</v>
      </c>
      <c r="B787" s="17" t="s">
        <v>536</v>
      </c>
      <c r="C787" s="17" t="s">
        <v>332</v>
      </c>
      <c r="D787" s="17" t="s">
        <v>537</v>
      </c>
      <c r="E787" s="17" t="s">
        <v>70</v>
      </c>
      <c r="F787" s="17" t="s">
        <v>71</v>
      </c>
      <c r="G787" s="17" t="s">
        <v>128</v>
      </c>
      <c r="H787" s="18">
        <v>0</v>
      </c>
      <c r="I787" s="18">
        <v>4703.2500</v>
      </c>
      <c r="J787" s="18">
        <f ca="1">((J786 + H787) - I787)</f>
        <v>0</v>
      </c>
      <c r="K787" s="18">
        <v>0</v>
      </c>
      <c r="L787" s="19">
        <v>0</v>
      </c>
      <c r="M787" s="17"/>
    </row>
    <row r="788" ht="10.95" customHeight="true" customFormat="true" s="9">
      <c r="A788" s="16">
        <v>45650</v>
      </c>
      <c r="B788" s="17" t="s">
        <v>536</v>
      </c>
      <c r="C788" s="17" t="s">
        <v>332</v>
      </c>
      <c r="D788" s="17" t="s">
        <v>537</v>
      </c>
      <c r="E788" s="17" t="s">
        <v>36</v>
      </c>
      <c r="F788" s="17" t="s">
        <v>76</v>
      </c>
      <c r="G788" s="17" t="s">
        <v>129</v>
      </c>
      <c r="H788" s="18">
        <v>8195.6500</v>
      </c>
      <c r="I788" s="18">
        <v>0</v>
      </c>
      <c r="J788" s="18">
        <f ca="1">((J787 + H788) - I788)</f>
        <v>0</v>
      </c>
      <c r="K788" s="18">
        <v>0</v>
      </c>
      <c r="L788" s="19">
        <v>0</v>
      </c>
      <c r="M788" s="17"/>
    </row>
    <row r="789" ht="10.95" customHeight="true" customFormat="true" s="9">
      <c r="A789" s="16">
        <v>45650</v>
      </c>
      <c r="B789" s="17" t="s">
        <v>536</v>
      </c>
      <c r="C789" s="17" t="s">
        <v>332</v>
      </c>
      <c r="D789" s="17" t="s">
        <v>537</v>
      </c>
      <c r="E789" s="17" t="s">
        <v>36</v>
      </c>
      <c r="F789" s="17" t="s">
        <v>76</v>
      </c>
      <c r="G789" s="17" t="s">
        <v>130</v>
      </c>
      <c r="H789" s="18">
        <v>418.5700</v>
      </c>
      <c r="I789" s="18">
        <v>0</v>
      </c>
      <c r="J789" s="18">
        <f ca="1">((J788 + H789) - I789)</f>
        <v>0</v>
      </c>
      <c r="K789" s="18">
        <v>0</v>
      </c>
      <c r="L789" s="19">
        <v>0</v>
      </c>
      <c r="M789" s="17"/>
    </row>
    <row r="790" ht="10.95" customHeight="true" customFormat="true" s="9">
      <c r="A790" s="16">
        <v>45650</v>
      </c>
      <c r="B790" s="17" t="s">
        <v>536</v>
      </c>
      <c r="C790" s="17" t="s">
        <v>332</v>
      </c>
      <c r="D790" s="17" t="s">
        <v>537</v>
      </c>
      <c r="E790" s="17" t="s">
        <v>36</v>
      </c>
      <c r="F790" s="17" t="s">
        <v>76</v>
      </c>
      <c r="G790" s="17" t="s">
        <v>131</v>
      </c>
      <c r="H790" s="18">
        <v>863.7500</v>
      </c>
      <c r="I790" s="18">
        <v>0</v>
      </c>
      <c r="J790" s="18">
        <f ca="1">((J789 + H790) - I790)</f>
        <v>0</v>
      </c>
      <c r="K790" s="18">
        <v>0</v>
      </c>
      <c r="L790" s="19">
        <v>0</v>
      </c>
      <c r="M790" s="17"/>
    </row>
    <row r="791" ht="10.95" customHeight="true" customFormat="true" s="9">
      <c r="A791" s="16">
        <v>45650</v>
      </c>
      <c r="B791" s="17" t="s">
        <v>536</v>
      </c>
      <c r="C791" s="17" t="s">
        <v>332</v>
      </c>
      <c r="D791" s="17" t="s">
        <v>537</v>
      </c>
      <c r="E791" s="17" t="s">
        <v>36</v>
      </c>
      <c r="F791" s="17" t="s">
        <v>76</v>
      </c>
      <c r="G791" s="17" t="s">
        <v>132</v>
      </c>
      <c r="H791" s="18">
        <v>1255.0900</v>
      </c>
      <c r="I791" s="18">
        <v>0</v>
      </c>
      <c r="J791" s="18">
        <f ca="1">((J790 + H791) - I791)</f>
        <v>0</v>
      </c>
      <c r="K791" s="18">
        <v>0</v>
      </c>
      <c r="L791" s="19">
        <v>0</v>
      </c>
      <c r="M791" s="17"/>
    </row>
    <row r="792" ht="10.95" customHeight="true" customFormat="true" s="9">
      <c r="A792" s="16">
        <v>45650</v>
      </c>
      <c r="B792" s="17" t="s">
        <v>536</v>
      </c>
      <c r="C792" s="17" t="s">
        <v>332</v>
      </c>
      <c r="D792" s="17" t="s">
        <v>537</v>
      </c>
      <c r="E792" s="17" t="s">
        <v>36</v>
      </c>
      <c r="F792" s="17" t="s">
        <v>76</v>
      </c>
      <c r="G792" s="17" t="s">
        <v>133</v>
      </c>
      <c r="H792" s="18">
        <v>10981.6200</v>
      </c>
      <c r="I792" s="18">
        <v>0</v>
      </c>
      <c r="J792" s="18">
        <f ca="1">((J791 + H792) - I792)</f>
        <v>0</v>
      </c>
      <c r="K792" s="18">
        <v>0</v>
      </c>
      <c r="L792" s="19">
        <v>0</v>
      </c>
      <c r="M792" s="17"/>
    </row>
    <row r="793" ht="10.95" customHeight="true" customFormat="true" s="9">
      <c r="A793" s="16">
        <v>45650</v>
      </c>
      <c r="B793" s="17" t="s">
        <v>536</v>
      </c>
      <c r="C793" s="17" t="s">
        <v>332</v>
      </c>
      <c r="D793" s="17" t="s">
        <v>537</v>
      </c>
      <c r="E793" s="17" t="s">
        <v>36</v>
      </c>
      <c r="F793" s="17" t="s">
        <v>76</v>
      </c>
      <c r="G793" s="17" t="s">
        <v>134</v>
      </c>
      <c r="H793" s="18">
        <v>714.4200</v>
      </c>
      <c r="I793" s="18">
        <v>0</v>
      </c>
      <c r="J793" s="18">
        <f ca="1">((J792 + H793) - I793)</f>
        <v>0</v>
      </c>
      <c r="K793" s="18">
        <v>0</v>
      </c>
      <c r="L793" s="19">
        <v>0</v>
      </c>
      <c r="M793" s="17"/>
    </row>
    <row r="794" ht="10.95" customHeight="true" customFormat="true" s="9">
      <c r="A794" s="16">
        <v>45650</v>
      </c>
      <c r="B794" s="17" t="s">
        <v>536</v>
      </c>
      <c r="C794" s="17" t="s">
        <v>332</v>
      </c>
      <c r="D794" s="17" t="s">
        <v>537</v>
      </c>
      <c r="E794" s="17" t="s">
        <v>36</v>
      </c>
      <c r="F794" s="17" t="s">
        <v>76</v>
      </c>
      <c r="G794" s="17" t="s">
        <v>135</v>
      </c>
      <c r="H794" s="18">
        <v>1190.7100</v>
      </c>
      <c r="I794" s="18">
        <v>0</v>
      </c>
      <c r="J794" s="18">
        <f ca="1">((J793 + H794) - I794)</f>
        <v>0</v>
      </c>
      <c r="K794" s="18">
        <v>0</v>
      </c>
      <c r="L794" s="19">
        <v>0</v>
      </c>
      <c r="M794" s="17"/>
    </row>
    <row r="795" ht="10.95" customHeight="true" customFormat="true" s="9">
      <c r="A795" s="16">
        <v>45650</v>
      </c>
      <c r="B795" s="17" t="s">
        <v>536</v>
      </c>
      <c r="C795" s="17" t="s">
        <v>332</v>
      </c>
      <c r="D795" s="17" t="s">
        <v>537</v>
      </c>
      <c r="E795" s="17" t="s">
        <v>36</v>
      </c>
      <c r="F795" s="17" t="s">
        <v>76</v>
      </c>
      <c r="G795" s="17" t="s">
        <v>136</v>
      </c>
      <c r="H795" s="18">
        <v>5768.5500</v>
      </c>
      <c r="I795" s="18">
        <v>0</v>
      </c>
      <c r="J795" s="18">
        <f ca="1">((J794 + H795) - I795)</f>
        <v>0</v>
      </c>
      <c r="K795" s="18">
        <v>0</v>
      </c>
      <c r="L795" s="19">
        <v>0</v>
      </c>
      <c r="M795" s="17"/>
    </row>
    <row r="796" ht="10.95" customHeight="true" customFormat="true" s="9">
      <c r="A796" s="16">
        <v>45650</v>
      </c>
      <c r="B796" s="17" t="s">
        <v>536</v>
      </c>
      <c r="C796" s="17" t="s">
        <v>332</v>
      </c>
      <c r="D796" s="17" t="s">
        <v>537</v>
      </c>
      <c r="E796" s="17" t="s">
        <v>36</v>
      </c>
      <c r="F796" s="17" t="s">
        <v>76</v>
      </c>
      <c r="G796" s="17" t="s">
        <v>137</v>
      </c>
      <c r="H796" s="18">
        <v>388.0800</v>
      </c>
      <c r="I796" s="18">
        <v>0</v>
      </c>
      <c r="J796" s="18">
        <f ca="1">((J795 + H796) - I796)</f>
        <v>0</v>
      </c>
      <c r="K796" s="18">
        <v>0</v>
      </c>
      <c r="L796" s="19">
        <v>0</v>
      </c>
      <c r="M796" s="17"/>
    </row>
    <row r="797" ht="10.95" customHeight="true" customFormat="true" s="9">
      <c r="A797" s="16">
        <v>45650</v>
      </c>
      <c r="B797" s="17" t="s">
        <v>536</v>
      </c>
      <c r="C797" s="17" t="s">
        <v>332</v>
      </c>
      <c r="D797" s="17" t="s">
        <v>537</v>
      </c>
      <c r="E797" s="17" t="s">
        <v>36</v>
      </c>
      <c r="F797" s="17" t="s">
        <v>76</v>
      </c>
      <c r="G797" s="17" t="s">
        <v>138</v>
      </c>
      <c r="H797" s="18">
        <v>9383.7400</v>
      </c>
      <c r="I797" s="18">
        <v>0</v>
      </c>
      <c r="J797" s="18">
        <f ca="1">((J796 + H797) - I797)</f>
        <v>0</v>
      </c>
      <c r="K797" s="18">
        <v>0</v>
      </c>
      <c r="L797" s="19">
        <v>0</v>
      </c>
      <c r="M797" s="17"/>
    </row>
    <row r="798" ht="10.95" customHeight="true" customFormat="true" s="9">
      <c r="A798" s="16">
        <v>45650</v>
      </c>
      <c r="B798" s="17" t="s">
        <v>536</v>
      </c>
      <c r="C798" s="17" t="s">
        <v>332</v>
      </c>
      <c r="D798" s="17" t="s">
        <v>537</v>
      </c>
      <c r="E798" s="17" t="s">
        <v>36</v>
      </c>
      <c r="F798" s="17" t="s">
        <v>76</v>
      </c>
      <c r="G798" s="17" t="s">
        <v>139</v>
      </c>
      <c r="H798" s="18">
        <v>1101.4400</v>
      </c>
      <c r="I798" s="18">
        <v>0</v>
      </c>
      <c r="J798" s="18">
        <f ca="1">((J797 + H798) - I798)</f>
        <v>0</v>
      </c>
      <c r="K798" s="18">
        <v>0</v>
      </c>
      <c r="L798" s="19">
        <v>0</v>
      </c>
      <c r="M798" s="17"/>
    </row>
    <row r="799" ht="10.95" customHeight="true" customFormat="true" s="9">
      <c r="A799" s="16">
        <v>45650</v>
      </c>
      <c r="B799" s="17" t="s">
        <v>536</v>
      </c>
      <c r="C799" s="17" t="s">
        <v>332</v>
      </c>
      <c r="D799" s="17" t="s">
        <v>537</v>
      </c>
      <c r="E799" s="17" t="s">
        <v>70</v>
      </c>
      <c r="F799" s="17" t="s">
        <v>71</v>
      </c>
      <c r="G799" s="17" t="s">
        <v>128</v>
      </c>
      <c r="H799" s="18">
        <v>0</v>
      </c>
      <c r="I799" s="18">
        <v>15452.5200</v>
      </c>
      <c r="J799" s="18">
        <f ca="1">((J798 + H799) - I799)</f>
        <v>0</v>
      </c>
      <c r="K799" s="18">
        <v>0</v>
      </c>
      <c r="L799" s="19">
        <v>0</v>
      </c>
      <c r="M799" s="17"/>
    </row>
    <row r="800" ht="10.95" customHeight="true" customFormat="true" s="9">
      <c r="A800" s="16">
        <v>45650</v>
      </c>
      <c r="B800" s="17" t="s">
        <v>536</v>
      </c>
      <c r="C800" s="17" t="s">
        <v>332</v>
      </c>
      <c r="D800" s="17" t="s">
        <v>537</v>
      </c>
      <c r="E800" s="17" t="s">
        <v>70</v>
      </c>
      <c r="F800" s="17" t="s">
        <v>71</v>
      </c>
      <c r="G800" s="17" t="s">
        <v>140</v>
      </c>
      <c r="H800" s="18">
        <v>0</v>
      </c>
      <c r="I800" s="18">
        <v>6498.3200</v>
      </c>
      <c r="J800" s="18">
        <f ca="1">((J799 + H800) - I800)</f>
        <v>0</v>
      </c>
      <c r="K800" s="18">
        <v>0</v>
      </c>
      <c r="L800" s="19">
        <v>0</v>
      </c>
      <c r="M800" s="17"/>
    </row>
    <row r="801" ht="10.95" customHeight="true" customFormat="true" s="9">
      <c r="A801" s="16">
        <v>45653</v>
      </c>
      <c r="B801" s="17" t="s">
        <v>536</v>
      </c>
      <c r="C801" s="17" t="s">
        <v>332</v>
      </c>
      <c r="D801" s="17" t="s">
        <v>537</v>
      </c>
      <c r="E801" s="17" t="s">
        <v>70</v>
      </c>
      <c r="F801" s="17" t="s">
        <v>74</v>
      </c>
      <c r="G801" s="17" t="s">
        <v>141</v>
      </c>
      <c r="H801" s="18">
        <v>60.5800</v>
      </c>
      <c r="I801" s="18">
        <v>0</v>
      </c>
      <c r="J801" s="18">
        <f ca="1">((J800 + H801) - I801)</f>
        <v>0</v>
      </c>
      <c r="K801" s="18">
        <v>0</v>
      </c>
      <c r="L801" s="19">
        <v>0</v>
      </c>
      <c r="M801" s="17"/>
    </row>
    <row r="802" ht="10.95" customHeight="true" customFormat="true" s="9">
      <c r="A802" s="16">
        <v>45666</v>
      </c>
      <c r="B802" s="17" t="s">
        <v>536</v>
      </c>
      <c r="C802" s="17" t="s">
        <v>332</v>
      </c>
      <c r="D802" s="17" t="s">
        <v>537</v>
      </c>
      <c r="E802" s="17" t="s">
        <v>70</v>
      </c>
      <c r="F802" s="17" t="s">
        <v>71</v>
      </c>
      <c r="G802" s="17" t="s">
        <v>142</v>
      </c>
      <c r="H802" s="18">
        <v>0</v>
      </c>
      <c r="I802" s="18">
        <v>11747.6900</v>
      </c>
      <c r="J802" s="18">
        <f ca="1">((J801 + H802) - I802)</f>
        <v>0</v>
      </c>
      <c r="K802" s="18">
        <v>0</v>
      </c>
      <c r="L802" s="19">
        <v>0</v>
      </c>
      <c r="M802" s="17"/>
    </row>
    <row r="803" ht="10.95" customHeight="true" customFormat="true" s="9">
      <c r="A803" s="16">
        <v>45666</v>
      </c>
      <c r="B803" s="17" t="s">
        <v>536</v>
      </c>
      <c r="C803" s="17" t="s">
        <v>332</v>
      </c>
      <c r="D803" s="17" t="s">
        <v>537</v>
      </c>
      <c r="E803" s="17" t="s">
        <v>70</v>
      </c>
      <c r="F803" s="17" t="s">
        <v>71</v>
      </c>
      <c r="G803" s="17" t="s">
        <v>143</v>
      </c>
      <c r="H803" s="18">
        <v>0</v>
      </c>
      <c r="I803" s="18">
        <v>26.3100</v>
      </c>
      <c r="J803" s="18">
        <f ca="1">((J802 + H803) - I803)</f>
        <v>0</v>
      </c>
      <c r="K803" s="18">
        <v>0</v>
      </c>
      <c r="L803" s="19">
        <v>0</v>
      </c>
      <c r="M803" s="17"/>
    </row>
    <row r="804" ht="10.95" customHeight="true" customFormat="true" s="9">
      <c r="A804" s="16">
        <v>45666</v>
      </c>
      <c r="B804" s="17" t="s">
        <v>536</v>
      </c>
      <c r="C804" s="17" t="s">
        <v>332</v>
      </c>
      <c r="D804" s="17" t="s">
        <v>537</v>
      </c>
      <c r="E804" s="17" t="s">
        <v>70</v>
      </c>
      <c r="F804" s="17" t="s">
        <v>71</v>
      </c>
      <c r="G804" s="17" t="s">
        <v>144</v>
      </c>
      <c r="H804" s="18">
        <v>0</v>
      </c>
      <c r="I804" s="18">
        <v>177.0800</v>
      </c>
      <c r="J804" s="18">
        <f ca="1">((J803 + H804) - I804)</f>
        <v>0</v>
      </c>
      <c r="K804" s="18">
        <v>0</v>
      </c>
      <c r="L804" s="19">
        <v>0</v>
      </c>
      <c r="M804" s="17"/>
    </row>
    <row r="805" ht="10.95" customHeight="true" customFormat="true" s="9">
      <c r="A805" s="16">
        <v>45685</v>
      </c>
      <c r="B805" s="17" t="s">
        <v>536</v>
      </c>
      <c r="C805" s="17" t="s">
        <v>332</v>
      </c>
      <c r="D805" s="17" t="s">
        <v>537</v>
      </c>
      <c r="E805" s="17" t="s">
        <v>70</v>
      </c>
      <c r="F805" s="17" t="s">
        <v>74</v>
      </c>
      <c r="G805" s="17" t="s">
        <v>145</v>
      </c>
      <c r="H805" s="18">
        <v>270.5800</v>
      </c>
      <c r="I805" s="18">
        <v>0</v>
      </c>
      <c r="J805" s="18">
        <f ca="1">((J804 + H805) - I805)</f>
        <v>0</v>
      </c>
      <c r="K805" s="18">
        <v>0</v>
      </c>
      <c r="L805" s="19">
        <v>0</v>
      </c>
      <c r="M805" s="17"/>
    </row>
    <row r="806" ht="10.95" customHeight="true" customFormat="true" s="9">
      <c r="A806" s="16">
        <v>45712</v>
      </c>
      <c r="B806" s="17" t="s">
        <v>536</v>
      </c>
      <c r="C806" s="17" t="s">
        <v>332</v>
      </c>
      <c r="D806" s="17" t="s">
        <v>537</v>
      </c>
      <c r="E806" s="17" t="s">
        <v>70</v>
      </c>
      <c r="F806" s="17" t="s">
        <v>71</v>
      </c>
      <c r="G806" s="17" t="s">
        <v>146</v>
      </c>
      <c r="H806" s="18">
        <v>0</v>
      </c>
      <c r="I806" s="18">
        <v>3829.2700</v>
      </c>
      <c r="J806" s="18">
        <f ca="1">((J805 + H806) - I806)</f>
        <v>0</v>
      </c>
      <c r="K806" s="18">
        <v>0</v>
      </c>
      <c r="L806" s="19">
        <v>0</v>
      </c>
      <c r="M806" s="17"/>
    </row>
    <row r="807" ht="10.95" customHeight="true" customFormat="true" s="9">
      <c r="A807" s="16">
        <v>45720</v>
      </c>
      <c r="B807" s="17" t="s">
        <v>536</v>
      </c>
      <c r="C807" s="17" t="s">
        <v>332</v>
      </c>
      <c r="D807" s="17" t="s">
        <v>537</v>
      </c>
      <c r="E807" s="17" t="s">
        <v>70</v>
      </c>
      <c r="F807" s="17" t="s">
        <v>74</v>
      </c>
      <c r="G807" s="17" t="s">
        <v>147</v>
      </c>
      <c r="H807" s="18">
        <v>145.5100</v>
      </c>
      <c r="I807" s="18">
        <v>0</v>
      </c>
      <c r="J807" s="18">
        <f ca="1">((J806 + H807) - I807)</f>
        <v>0</v>
      </c>
      <c r="K807" s="18">
        <v>0</v>
      </c>
      <c r="L807" s="19">
        <v>0</v>
      </c>
      <c r="M807" s="17"/>
    </row>
    <row r="808" ht="10.95" customHeight="true" customFormat="true" s="9">
      <c r="A808" s="16">
        <v>45735</v>
      </c>
      <c r="B808" s="17" t="s">
        <v>536</v>
      </c>
      <c r="C808" s="17" t="s">
        <v>332</v>
      </c>
      <c r="D808" s="17" t="s">
        <v>537</v>
      </c>
      <c r="E808" s="17" t="s">
        <v>70</v>
      </c>
      <c r="F808" s="17" t="s">
        <v>71</v>
      </c>
      <c r="G808" s="17" t="s">
        <v>148</v>
      </c>
      <c r="H808" s="18">
        <v>0</v>
      </c>
      <c r="I808" s="18">
        <v>4049.0900</v>
      </c>
      <c r="J808" s="18">
        <f ca="1">((J807 + H808) - I808)</f>
        <v>0</v>
      </c>
      <c r="K808" s="18">
        <v>0</v>
      </c>
      <c r="L808" s="19">
        <v>0</v>
      </c>
      <c r="M808" s="17"/>
    </row>
    <row r="809" ht="10.95" customHeight="true" customFormat="true" s="9">
      <c r="A809" s="16">
        <v>45747</v>
      </c>
      <c r="B809" s="17" t="s">
        <v>536</v>
      </c>
      <c r="C809" s="17" t="s">
        <v>332</v>
      </c>
      <c r="D809" s="17" t="s">
        <v>537</v>
      </c>
      <c r="E809" s="17" t="s">
        <v>154</v>
      </c>
      <c r="F809" s="17" t="s">
        <v>334</v>
      </c>
      <c r="G809" s="17" t="s">
        <v>156</v>
      </c>
      <c r="H809" s="18">
        <v>0</v>
      </c>
      <c r="I809" s="18">
        <v>4.5400</v>
      </c>
      <c r="J809" s="18">
        <f ca="1">((J808 + H809) - I809)</f>
        <v>0</v>
      </c>
      <c r="K809" s="18">
        <v>0</v>
      </c>
      <c r="L809" s="19">
        <v>0</v>
      </c>
      <c r="M809" s="17" t="s">
        <v>157</v>
      </c>
    </row>
    <row r="810" ht="10.95" customHeight="true" customFormat="true" s="9">
      <c r="A810" s="16">
        <v>45747</v>
      </c>
      <c r="B810" s="17" t="s">
        <v>536</v>
      </c>
      <c r="C810" s="17" t="s">
        <v>332</v>
      </c>
      <c r="D810" s="17" t="s">
        <v>537</v>
      </c>
      <c r="E810" s="17" t="s">
        <v>154</v>
      </c>
      <c r="F810" s="17" t="s">
        <v>539</v>
      </c>
      <c r="G810" s="17" t="s">
        <v>156</v>
      </c>
      <c r="H810" s="18">
        <v>4.1700</v>
      </c>
      <c r="I810" s="18">
        <v>0</v>
      </c>
      <c r="J810" s="18">
        <f ca="1">((J809 + H810) - I810)</f>
        <v>0</v>
      </c>
      <c r="K810" s="18">
        <v>0</v>
      </c>
      <c r="L810" s="19">
        <v>0</v>
      </c>
      <c r="M810" s="17" t="s">
        <v>157</v>
      </c>
    </row>
    <row r="811" ht="10.95" customHeight="true" customFormat="true" s="9">
      <c r="A811" s="20" t="s">
        <v>540</v>
      </c>
      <c r="B811" s="20"/>
      <c r="C811" s="20"/>
      <c r="D811" s="20"/>
      <c r="E811" s="20"/>
      <c r="F811" s="20"/>
      <c r="G811" s="20"/>
      <c r="H811" s="21">
        <f ca="1">SUM(H733:H810)</f>
        <v>0</v>
      </c>
      <c r="I811" s="21">
        <f ca="1">SUM(I733:I810)</f>
        <v>0</v>
      </c>
      <c r="J811" s="21">
        <f ca="1">J810</f>
        <v>0</v>
      </c>
      <c r="K811" s="21">
        <f ca="1">SUM(K733:K810)</f>
        <v>0</v>
      </c>
      <c r="L811" s="20"/>
      <c r="M811" s="20"/>
    </row>
    <row r="812" ht="10.95" customHeight="true" customFormat="true" s="9">
      <c r="A812" s="20" t="s">
        <v>25</v>
      </c>
      <c r="B812" s="20"/>
      <c r="C812" s="20"/>
      <c r="D812" s="20"/>
      <c r="E812" s="20"/>
      <c r="F812" s="20"/>
      <c r="G812" s="20"/>
      <c r="H812" s="21">
        <v>0</v>
      </c>
      <c r="I812" s="21">
        <v>38222.7300</v>
      </c>
      <c r="J812" s="21">
        <v>0</v>
      </c>
      <c r="K812" s="21">
        <v>0</v>
      </c>
      <c r="L812" s="20"/>
      <c r="M812" s="20"/>
    </row>
    <row r="813" ht="10.95" customHeight="true" customFormat="true" s="9">
      <c r="A813" s="10" t="s">
        <v>26</v>
      </c>
      <c r="B813" s="10"/>
      <c r="C813" s="10"/>
      <c r="D813" s="10"/>
      <c r="E813" s="10"/>
      <c r="F813" s="10"/>
      <c r="G813" s="10"/>
      <c r="H813" s="11">
        <v>0</v>
      </c>
      <c r="I813" s="11">
        <v>38222.7300</v>
      </c>
      <c r="J813" s="11">
        <f ca="1">J810</f>
        <v>0</v>
      </c>
      <c r="K813" s="11">
        <v>0</v>
      </c>
      <c r="L813" s="10"/>
      <c r="M813" s="10"/>
    </row>
    <row r="814" ht="13.35" customHeight="true"/>
    <row r="815" ht="12.1" customHeight="true" customFormat="true" s="5">
      <c r="A815" s="8" t="s">
        <v>541</v>
      </c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</row>
    <row r="816" ht="10.95" customHeight="true" customFormat="true" s="9">
      <c r="A816" s="10" t="s">
        <v>17</v>
      </c>
      <c r="B816" s="10"/>
      <c r="C816" s="10"/>
      <c r="D816" s="10"/>
      <c r="E816" s="10"/>
      <c r="F816" s="10"/>
      <c r="G816" s="10"/>
      <c r="H816" s="11">
        <v>0</v>
      </c>
      <c r="I816" s="11">
        <v>0</v>
      </c>
      <c r="J816" s="11">
        <f ca="1">(H816 - I816)</f>
        <v>0</v>
      </c>
      <c r="K816" s="11">
        <v>0</v>
      </c>
      <c r="L816" s="10"/>
      <c r="M816" s="10"/>
    </row>
    <row r="817" ht="10.95" customHeight="true" customFormat="true" s="9">
      <c r="A817" s="12">
        <v>45747</v>
      </c>
      <c r="B817" s="13" t="s">
        <v>542</v>
      </c>
      <c r="C817" s="13" t="s">
        <v>332</v>
      </c>
      <c r="D817" s="13" t="s">
        <v>543</v>
      </c>
      <c r="E817" s="13" t="s">
        <v>154</v>
      </c>
      <c r="F817" s="13" t="s">
        <v>544</v>
      </c>
      <c r="G817" s="13" t="s">
        <v>156</v>
      </c>
      <c r="H817" s="14">
        <v>65015.1000</v>
      </c>
      <c r="I817" s="14">
        <v>0</v>
      </c>
      <c r="J817" s="14">
        <f ca="1">((J816 + H817) - I817)</f>
        <v>0</v>
      </c>
      <c r="K817" s="14">
        <v>0</v>
      </c>
      <c r="L817" s="15">
        <v>0</v>
      </c>
      <c r="M817" s="13" t="s">
        <v>157</v>
      </c>
    </row>
    <row r="818" ht="10.95" customHeight="true" customFormat="true" s="9">
      <c r="A818" s="20" t="s">
        <v>545</v>
      </c>
      <c r="B818" s="20"/>
      <c r="C818" s="20"/>
      <c r="D818" s="20"/>
      <c r="E818" s="20"/>
      <c r="F818" s="20"/>
      <c r="G818" s="20"/>
      <c r="H818" s="21">
        <f ca="1">H817</f>
        <v>0</v>
      </c>
      <c r="I818" s="21">
        <f ca="1">I817</f>
        <v>0</v>
      </c>
      <c r="J818" s="21">
        <f ca="1">J817</f>
        <v>0</v>
      </c>
      <c r="K818" s="21">
        <f ca="1">K817</f>
        <v>0</v>
      </c>
      <c r="L818" s="20"/>
      <c r="M818" s="20"/>
    </row>
    <row r="819" ht="10.95" customHeight="true" customFormat="true" s="9">
      <c r="A819" s="20" t="s">
        <v>25</v>
      </c>
      <c r="B819" s="20"/>
      <c r="C819" s="20"/>
      <c r="D819" s="20"/>
      <c r="E819" s="20"/>
      <c r="F819" s="20"/>
      <c r="G819" s="20"/>
      <c r="H819" s="21">
        <v>65015.1000</v>
      </c>
      <c r="I819" s="21">
        <v>0</v>
      </c>
      <c r="J819" s="21">
        <v>0</v>
      </c>
      <c r="K819" s="21">
        <v>0</v>
      </c>
      <c r="L819" s="20"/>
      <c r="M819" s="20"/>
    </row>
    <row r="820" ht="10.95" customHeight="true" customFormat="true" s="9">
      <c r="A820" s="10" t="s">
        <v>26</v>
      </c>
      <c r="B820" s="10"/>
      <c r="C820" s="10"/>
      <c r="D820" s="10"/>
      <c r="E820" s="10"/>
      <c r="F820" s="10"/>
      <c r="G820" s="10"/>
      <c r="H820" s="11">
        <v>65015.1000</v>
      </c>
      <c r="I820" s="11">
        <v>0</v>
      </c>
      <c r="J820" s="11">
        <f ca="1">J817</f>
        <v>0</v>
      </c>
      <c r="K820" s="11">
        <v>0</v>
      </c>
      <c r="L820" s="10"/>
      <c r="M820" s="10"/>
    </row>
    <row r="821" ht="13.35" customHeight="true"/>
    <row r="822" ht="12.1" customHeight="true" customFormat="true" s="5">
      <c r="A822" s="8" t="s">
        <v>546</v>
      </c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</row>
    <row r="823" ht="10.95" customHeight="true" customFormat="true" s="9">
      <c r="A823" s="10" t="s">
        <v>17</v>
      </c>
      <c r="B823" s="10"/>
      <c r="C823" s="10"/>
      <c r="D823" s="10"/>
      <c r="E823" s="10"/>
      <c r="F823" s="10"/>
      <c r="G823" s="10"/>
      <c r="H823" s="11">
        <v>0</v>
      </c>
      <c r="I823" s="11">
        <v>0</v>
      </c>
      <c r="J823" s="11">
        <f ca="1">(H823 - I823)</f>
        <v>0</v>
      </c>
      <c r="K823" s="11">
        <v>0</v>
      </c>
      <c r="L823" s="10"/>
      <c r="M823" s="10"/>
    </row>
    <row r="824" ht="10.95" customHeight="true" customFormat="true" s="9">
      <c r="A824" s="12">
        <v>45565</v>
      </c>
      <c r="B824" s="13" t="s">
        <v>547</v>
      </c>
      <c r="C824" s="13" t="s">
        <v>332</v>
      </c>
      <c r="D824" s="13" t="s">
        <v>548</v>
      </c>
      <c r="E824" s="13" t="s">
        <v>154</v>
      </c>
      <c r="F824" s="13" t="s">
        <v>442</v>
      </c>
      <c r="G824" s="13" t="s">
        <v>168</v>
      </c>
      <c r="H824" s="14">
        <v>108.9100</v>
      </c>
      <c r="I824" s="14">
        <v>0</v>
      </c>
      <c r="J824" s="14">
        <f ca="1">((J823 + H824) - I824)</f>
        <v>0</v>
      </c>
      <c r="K824" s="14">
        <v>0</v>
      </c>
      <c r="L824" s="15">
        <v>0</v>
      </c>
      <c r="M824" s="13" t="s">
        <v>157</v>
      </c>
    </row>
    <row r="825" ht="10.95" customHeight="true" customFormat="true" s="9">
      <c r="A825" s="16">
        <v>45747</v>
      </c>
      <c r="B825" s="17" t="s">
        <v>547</v>
      </c>
      <c r="C825" s="17" t="s">
        <v>332</v>
      </c>
      <c r="D825" s="17" t="s">
        <v>548</v>
      </c>
      <c r="E825" s="17" t="s">
        <v>154</v>
      </c>
      <c r="F825" s="17" t="s">
        <v>539</v>
      </c>
      <c r="G825" s="17" t="s">
        <v>156</v>
      </c>
      <c r="H825" s="18">
        <v>0</v>
      </c>
      <c r="I825" s="18">
        <v>4.1700</v>
      </c>
      <c r="J825" s="18">
        <f ca="1">((J824 + H825) - I825)</f>
        <v>0</v>
      </c>
      <c r="K825" s="18">
        <v>0</v>
      </c>
      <c r="L825" s="19">
        <v>0</v>
      </c>
      <c r="M825" s="17" t="s">
        <v>157</v>
      </c>
    </row>
    <row r="826" ht="10.95" customHeight="true" customFormat="true" s="9">
      <c r="A826" s="16">
        <v>45747</v>
      </c>
      <c r="B826" s="17" t="s">
        <v>547</v>
      </c>
      <c r="C826" s="17" t="s">
        <v>332</v>
      </c>
      <c r="D826" s="17" t="s">
        <v>548</v>
      </c>
      <c r="E826" s="17" t="s">
        <v>154</v>
      </c>
      <c r="F826" s="17" t="s">
        <v>549</v>
      </c>
      <c r="G826" s="17" t="s">
        <v>156</v>
      </c>
      <c r="H826" s="18">
        <v>0</v>
      </c>
      <c r="I826" s="18">
        <v>108.9100</v>
      </c>
      <c r="J826" s="18">
        <f ca="1">((J825 + H826) - I826)</f>
        <v>0</v>
      </c>
      <c r="K826" s="18">
        <v>0</v>
      </c>
      <c r="L826" s="19">
        <v>0</v>
      </c>
      <c r="M826" s="17" t="s">
        <v>157</v>
      </c>
    </row>
    <row r="827" ht="10.95" customHeight="true" customFormat="true" s="9">
      <c r="A827" s="20" t="s">
        <v>550</v>
      </c>
      <c r="B827" s="20"/>
      <c r="C827" s="20"/>
      <c r="D827" s="20"/>
      <c r="E827" s="20"/>
      <c r="F827" s="20"/>
      <c r="G827" s="20"/>
      <c r="H827" s="21">
        <f ca="1">SUM(H824:H826)</f>
        <v>0</v>
      </c>
      <c r="I827" s="21">
        <f ca="1">SUM(I824:I826)</f>
        <v>0</v>
      </c>
      <c r="J827" s="21">
        <f ca="1">J826</f>
        <v>0</v>
      </c>
      <c r="K827" s="21">
        <f ca="1">SUM(K824:K826)</f>
        <v>0</v>
      </c>
      <c r="L827" s="20"/>
      <c r="M827" s="20"/>
    </row>
    <row r="828" ht="10.95" customHeight="true" customFormat="true" s="9">
      <c r="A828" s="20" t="s">
        <v>25</v>
      </c>
      <c r="B828" s="20"/>
      <c r="C828" s="20"/>
      <c r="D828" s="20"/>
      <c r="E828" s="20"/>
      <c r="F828" s="20"/>
      <c r="G828" s="20"/>
      <c r="H828" s="21">
        <v>0</v>
      </c>
      <c r="I828" s="21">
        <v>4.1700</v>
      </c>
      <c r="J828" s="21">
        <v>0</v>
      </c>
      <c r="K828" s="21">
        <v>0</v>
      </c>
      <c r="L828" s="20"/>
      <c r="M828" s="20"/>
    </row>
    <row r="829" ht="10.95" customHeight="true" customFormat="true" s="9">
      <c r="A829" s="10" t="s">
        <v>26</v>
      </c>
      <c r="B829" s="10"/>
      <c r="C829" s="10"/>
      <c r="D829" s="10"/>
      <c r="E829" s="10"/>
      <c r="F829" s="10"/>
      <c r="G829" s="10"/>
      <c r="H829" s="11">
        <v>0</v>
      </c>
      <c r="I829" s="11">
        <v>4.1700</v>
      </c>
      <c r="J829" s="11">
        <f ca="1">J826</f>
        <v>0</v>
      </c>
      <c r="K829" s="11">
        <v>0</v>
      </c>
      <c r="L829" s="10"/>
      <c r="M829" s="10"/>
    </row>
    <row r="830" ht="13.35" customHeight="true"/>
    <row r="831" ht="12.1" customHeight="true" customFormat="true" s="5">
      <c r="A831" s="8" t="s">
        <v>551</v>
      </c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</row>
    <row r="832" ht="10.95" customHeight="true" customFormat="true" s="9">
      <c r="A832" s="10" t="s">
        <v>17</v>
      </c>
      <c r="B832" s="10"/>
      <c r="C832" s="10"/>
      <c r="D832" s="10"/>
      <c r="E832" s="10"/>
      <c r="F832" s="10"/>
      <c r="G832" s="10"/>
      <c r="H832" s="11">
        <v>0</v>
      </c>
      <c r="I832" s="11">
        <v>0</v>
      </c>
      <c r="J832" s="11">
        <f ca="1">(H832 - I832)</f>
        <v>0</v>
      </c>
      <c r="K832" s="11">
        <v>0</v>
      </c>
      <c r="L832" s="10"/>
      <c r="M832" s="10"/>
    </row>
    <row r="833" ht="10.95" customHeight="true" customFormat="true" s="9">
      <c r="A833" s="12">
        <v>45443</v>
      </c>
      <c r="B833" s="13" t="s">
        <v>552</v>
      </c>
      <c r="C833" s="13" t="s">
        <v>553</v>
      </c>
      <c r="D833" s="13" t="s">
        <v>554</v>
      </c>
      <c r="E833" s="13" t="s">
        <v>339</v>
      </c>
      <c r="F833" s="13" t="s">
        <v>555</v>
      </c>
      <c r="G833" s="13" t="s">
        <v>112</v>
      </c>
      <c r="H833" s="14">
        <v>24569.6600</v>
      </c>
      <c r="I833" s="14">
        <v>0</v>
      </c>
      <c r="J833" s="14">
        <f ca="1">((J832 + H833) - I833)</f>
        <v>0</v>
      </c>
      <c r="K833" s="14">
        <v>0</v>
      </c>
      <c r="L833" s="15">
        <v>0</v>
      </c>
      <c r="M833" s="13" t="s">
        <v>157</v>
      </c>
    </row>
    <row r="834" ht="10.95" customHeight="true" customFormat="true" s="9">
      <c r="A834" s="20" t="s">
        <v>556</v>
      </c>
      <c r="B834" s="20"/>
      <c r="C834" s="20"/>
      <c r="D834" s="20"/>
      <c r="E834" s="20"/>
      <c r="F834" s="20"/>
      <c r="G834" s="20"/>
      <c r="H834" s="21">
        <f ca="1">H833</f>
        <v>0</v>
      </c>
      <c r="I834" s="21">
        <f ca="1">I833</f>
        <v>0</v>
      </c>
      <c r="J834" s="21">
        <f ca="1">J833</f>
        <v>0</v>
      </c>
      <c r="K834" s="21">
        <f ca="1">K833</f>
        <v>0</v>
      </c>
      <c r="L834" s="20"/>
      <c r="M834" s="20"/>
    </row>
    <row r="835" ht="10.95" customHeight="true" customFormat="true" s="9">
      <c r="A835" s="20" t="s">
        <v>25</v>
      </c>
      <c r="B835" s="20"/>
      <c r="C835" s="20"/>
      <c r="D835" s="20"/>
      <c r="E835" s="20"/>
      <c r="F835" s="20"/>
      <c r="G835" s="20"/>
      <c r="H835" s="21">
        <v>24569.6600</v>
      </c>
      <c r="I835" s="21">
        <v>0</v>
      </c>
      <c r="J835" s="21">
        <v>0</v>
      </c>
      <c r="K835" s="21">
        <v>0</v>
      </c>
      <c r="L835" s="20"/>
      <c r="M835" s="20"/>
    </row>
    <row r="836" ht="10.95" customHeight="true" customFormat="true" s="9">
      <c r="A836" s="10" t="s">
        <v>26</v>
      </c>
      <c r="B836" s="10"/>
      <c r="C836" s="10"/>
      <c r="D836" s="10"/>
      <c r="E836" s="10"/>
      <c r="F836" s="10"/>
      <c r="G836" s="10"/>
      <c r="H836" s="11">
        <v>24569.6600</v>
      </c>
      <c r="I836" s="11">
        <v>0</v>
      </c>
      <c r="J836" s="11">
        <f ca="1">J833</f>
        <v>0</v>
      </c>
      <c r="K836" s="11">
        <v>0</v>
      </c>
      <c r="L836" s="10"/>
      <c r="M836" s="10"/>
    </row>
    <row r="837" ht="13.35" customHeight="true"/>
    <row r="838" ht="12.1" customHeight="true" customFormat="true" s="5">
      <c r="A838" s="8" t="s">
        <v>557</v>
      </c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</row>
    <row r="839" ht="10.95" customHeight="true" customFormat="true" s="9">
      <c r="A839" s="10" t="s">
        <v>17</v>
      </c>
      <c r="B839" s="10"/>
      <c r="C839" s="10"/>
      <c r="D839" s="10"/>
      <c r="E839" s="10"/>
      <c r="F839" s="10"/>
      <c r="G839" s="10"/>
      <c r="H839" s="11">
        <v>0</v>
      </c>
      <c r="I839" s="11">
        <v>0</v>
      </c>
      <c r="J839" s="11">
        <f ca="1">(H839 - I839)</f>
        <v>0</v>
      </c>
      <c r="K839" s="11">
        <v>0</v>
      </c>
      <c r="L839" s="10"/>
      <c r="M839" s="10"/>
    </row>
    <row r="840" ht="21.3" customHeight="true" customFormat="true" s="9">
      <c r="A840" s="12">
        <v>45688</v>
      </c>
      <c r="B840" s="13" t="s">
        <v>558</v>
      </c>
      <c r="C840" s="13" t="s">
        <v>553</v>
      </c>
      <c r="D840" s="13" t="s">
        <v>559</v>
      </c>
      <c r="E840" s="13" t="s">
        <v>339</v>
      </c>
      <c r="F840" s="22" t="s">
        <v>560</v>
      </c>
      <c r="G840" s="13" t="s">
        <v>561</v>
      </c>
      <c r="H840" s="14">
        <v>7463.3000</v>
      </c>
      <c r="I840" s="14">
        <v>0</v>
      </c>
      <c r="J840" s="14">
        <f ca="1">((J839 + H840) - I840)</f>
        <v>0</v>
      </c>
      <c r="K840" s="14">
        <v>0</v>
      </c>
      <c r="L840" s="15">
        <v>0</v>
      </c>
      <c r="M840" s="13" t="s">
        <v>157</v>
      </c>
    </row>
    <row r="841" ht="10.95" customHeight="true" customFormat="true" s="9">
      <c r="A841" s="20" t="s">
        <v>562</v>
      </c>
      <c r="B841" s="20"/>
      <c r="C841" s="20"/>
      <c r="D841" s="20"/>
      <c r="E841" s="20"/>
      <c r="F841" s="20"/>
      <c r="G841" s="20"/>
      <c r="H841" s="21">
        <f ca="1">H840</f>
        <v>0</v>
      </c>
      <c r="I841" s="21">
        <f ca="1">I840</f>
        <v>0</v>
      </c>
      <c r="J841" s="21">
        <f ca="1">J840</f>
        <v>0</v>
      </c>
      <c r="K841" s="21">
        <f ca="1">K840</f>
        <v>0</v>
      </c>
      <c r="L841" s="20"/>
      <c r="M841" s="20"/>
    </row>
    <row r="842" ht="10.95" customHeight="true" customFormat="true" s="9">
      <c r="A842" s="20" t="s">
        <v>25</v>
      </c>
      <c r="B842" s="20"/>
      <c r="C842" s="20"/>
      <c r="D842" s="20"/>
      <c r="E842" s="20"/>
      <c r="F842" s="20"/>
      <c r="G842" s="20"/>
      <c r="H842" s="21">
        <v>7463.3000</v>
      </c>
      <c r="I842" s="21">
        <v>0</v>
      </c>
      <c r="J842" s="21">
        <v>0</v>
      </c>
      <c r="K842" s="21">
        <v>0</v>
      </c>
      <c r="L842" s="20"/>
      <c r="M842" s="20"/>
    </row>
    <row r="843" ht="10.95" customHeight="true" customFormat="true" s="9">
      <c r="A843" s="10" t="s">
        <v>26</v>
      </c>
      <c r="B843" s="10"/>
      <c r="C843" s="10"/>
      <c r="D843" s="10"/>
      <c r="E843" s="10"/>
      <c r="F843" s="10"/>
      <c r="G843" s="10"/>
      <c r="H843" s="11">
        <v>7463.3000</v>
      </c>
      <c r="I843" s="11">
        <v>0</v>
      </c>
      <c r="J843" s="11">
        <f ca="1">J840</f>
        <v>0</v>
      </c>
      <c r="K843" s="11">
        <v>0</v>
      </c>
      <c r="L843" s="10"/>
      <c r="M843" s="10"/>
    </row>
    <row r="844" ht="13.35" customHeight="true"/>
    <row r="845" ht="12.1" customHeight="true" customFormat="true" s="5">
      <c r="A845" s="8" t="s">
        <v>563</v>
      </c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</row>
    <row r="846" ht="10.95" customHeight="true" customFormat="true" s="9">
      <c r="A846" s="10" t="s">
        <v>17</v>
      </c>
      <c r="B846" s="10"/>
      <c r="C846" s="10"/>
      <c r="D846" s="10"/>
      <c r="E846" s="10"/>
      <c r="F846" s="10"/>
      <c r="G846" s="10"/>
      <c r="H846" s="11">
        <v>0</v>
      </c>
      <c r="I846" s="11">
        <v>0</v>
      </c>
      <c r="J846" s="11">
        <f ca="1">(H846 - I846)</f>
        <v>0</v>
      </c>
      <c r="K846" s="11">
        <v>0</v>
      </c>
      <c r="L846" s="10"/>
      <c r="M846" s="10"/>
    </row>
    <row r="847" ht="10.95" customHeight="true" customFormat="true" s="9">
      <c r="A847" s="12">
        <v>45409</v>
      </c>
      <c r="B847" s="13" t="s">
        <v>564</v>
      </c>
      <c r="C847" s="13" t="s">
        <v>332</v>
      </c>
      <c r="D847" s="13" t="s">
        <v>565</v>
      </c>
      <c r="E847" s="13" t="s">
        <v>29</v>
      </c>
      <c r="F847" s="13" t="s">
        <v>566</v>
      </c>
      <c r="G847" s="13"/>
      <c r="H847" s="14">
        <v>0.0100</v>
      </c>
      <c r="I847" s="14">
        <v>0</v>
      </c>
      <c r="J847" s="14">
        <f ca="1">((J846 + H847) - I847)</f>
        <v>0</v>
      </c>
      <c r="K847" s="14">
        <v>0</v>
      </c>
      <c r="L847" s="15">
        <v>0</v>
      </c>
      <c r="M847" s="13" t="s">
        <v>431</v>
      </c>
    </row>
    <row r="848" ht="10.95" customHeight="true" customFormat="true" s="9">
      <c r="A848" s="16">
        <v>45409</v>
      </c>
      <c r="B848" s="17" t="s">
        <v>564</v>
      </c>
      <c r="C848" s="17" t="s">
        <v>332</v>
      </c>
      <c r="D848" s="17" t="s">
        <v>565</v>
      </c>
      <c r="E848" s="17" t="s">
        <v>29</v>
      </c>
      <c r="F848" s="17" t="s">
        <v>39</v>
      </c>
      <c r="G848" s="17"/>
      <c r="H848" s="18">
        <v>0.0100</v>
      </c>
      <c r="I848" s="18">
        <v>0</v>
      </c>
      <c r="J848" s="18">
        <f ca="1">((J847 + H848) - I848)</f>
        <v>0</v>
      </c>
      <c r="K848" s="18">
        <v>0</v>
      </c>
      <c r="L848" s="19">
        <v>0</v>
      </c>
      <c r="M848" s="17" t="s">
        <v>157</v>
      </c>
    </row>
    <row r="849" ht="10.95" customHeight="true" customFormat="true" s="9">
      <c r="A849" s="16">
        <v>45412</v>
      </c>
      <c r="B849" s="17" t="s">
        <v>564</v>
      </c>
      <c r="C849" s="17" t="s">
        <v>332</v>
      </c>
      <c r="D849" s="17" t="s">
        <v>565</v>
      </c>
      <c r="E849" s="17" t="s">
        <v>29</v>
      </c>
      <c r="F849" s="17" t="s">
        <v>567</v>
      </c>
      <c r="G849" s="17"/>
      <c r="H849" s="18">
        <v>23.6200</v>
      </c>
      <c r="I849" s="18">
        <v>0</v>
      </c>
      <c r="J849" s="18">
        <f ca="1">((J848 + H849) - I849)</f>
        <v>0</v>
      </c>
      <c r="K849" s="18">
        <v>0</v>
      </c>
      <c r="L849" s="19">
        <v>0</v>
      </c>
      <c r="M849" s="17" t="s">
        <v>431</v>
      </c>
    </row>
    <row r="850" ht="10.95" customHeight="true" customFormat="true" s="9">
      <c r="A850" s="16">
        <v>45414</v>
      </c>
      <c r="B850" s="17" t="s">
        <v>564</v>
      </c>
      <c r="C850" s="17" t="s">
        <v>332</v>
      </c>
      <c r="D850" s="17" t="s">
        <v>565</v>
      </c>
      <c r="E850" s="17" t="s">
        <v>29</v>
      </c>
      <c r="F850" s="17" t="s">
        <v>567</v>
      </c>
      <c r="G850" s="17"/>
      <c r="H850" s="18">
        <v>28.0700</v>
      </c>
      <c r="I850" s="18">
        <v>0</v>
      </c>
      <c r="J850" s="18">
        <f ca="1">((J849 + H850) - I850)</f>
        <v>0</v>
      </c>
      <c r="K850" s="18">
        <v>0</v>
      </c>
      <c r="L850" s="19">
        <v>0</v>
      </c>
      <c r="M850" s="17" t="s">
        <v>157</v>
      </c>
    </row>
    <row r="851" ht="10.95" customHeight="true" customFormat="true" s="9">
      <c r="A851" s="16">
        <v>45414</v>
      </c>
      <c r="B851" s="17" t="s">
        <v>564</v>
      </c>
      <c r="C851" s="17" t="s">
        <v>332</v>
      </c>
      <c r="D851" s="17" t="s">
        <v>565</v>
      </c>
      <c r="E851" s="17" t="s">
        <v>29</v>
      </c>
      <c r="F851" s="17" t="s">
        <v>567</v>
      </c>
      <c r="G851" s="17"/>
      <c r="H851" s="18">
        <v>12.7600</v>
      </c>
      <c r="I851" s="18">
        <v>0</v>
      </c>
      <c r="J851" s="18">
        <f ca="1">((J850 + H851) - I851)</f>
        <v>0</v>
      </c>
      <c r="K851" s="18">
        <v>0</v>
      </c>
      <c r="L851" s="19">
        <v>0</v>
      </c>
      <c r="M851" s="17" t="s">
        <v>157</v>
      </c>
    </row>
    <row r="852" ht="10.95" customHeight="true" customFormat="true" s="9">
      <c r="A852" s="16">
        <v>45429</v>
      </c>
      <c r="B852" s="17" t="s">
        <v>564</v>
      </c>
      <c r="C852" s="17" t="s">
        <v>332</v>
      </c>
      <c r="D852" s="17" t="s">
        <v>565</v>
      </c>
      <c r="E852" s="17" t="s">
        <v>29</v>
      </c>
      <c r="F852" s="17" t="s">
        <v>567</v>
      </c>
      <c r="G852" s="17"/>
      <c r="H852" s="18">
        <v>10.6000</v>
      </c>
      <c r="I852" s="18">
        <v>0</v>
      </c>
      <c r="J852" s="18">
        <f ca="1">((J851 + H852) - I852)</f>
        <v>0</v>
      </c>
      <c r="K852" s="18">
        <v>0</v>
      </c>
      <c r="L852" s="19">
        <v>0</v>
      </c>
      <c r="M852" s="17" t="s">
        <v>157</v>
      </c>
    </row>
    <row r="853" ht="10.95" customHeight="true" customFormat="true" s="9">
      <c r="A853" s="16">
        <v>45443</v>
      </c>
      <c r="B853" s="17" t="s">
        <v>564</v>
      </c>
      <c r="C853" s="17" t="s">
        <v>332</v>
      </c>
      <c r="D853" s="17" t="s">
        <v>565</v>
      </c>
      <c r="E853" s="17" t="s">
        <v>29</v>
      </c>
      <c r="F853" s="17" t="s">
        <v>567</v>
      </c>
      <c r="G853" s="17"/>
      <c r="H853" s="18">
        <v>12.4900</v>
      </c>
      <c r="I853" s="18">
        <v>0</v>
      </c>
      <c r="J853" s="18">
        <f ca="1">((J852 + H853) - I853)</f>
        <v>0</v>
      </c>
      <c r="K853" s="18">
        <v>0</v>
      </c>
      <c r="L853" s="19">
        <v>0</v>
      </c>
      <c r="M853" s="17" t="s">
        <v>157</v>
      </c>
    </row>
    <row r="854" ht="10.95" customHeight="true" customFormat="true" s="9">
      <c r="A854" s="16">
        <v>45450</v>
      </c>
      <c r="B854" s="17" t="s">
        <v>564</v>
      </c>
      <c r="C854" s="17" t="s">
        <v>332</v>
      </c>
      <c r="D854" s="17" t="s">
        <v>565</v>
      </c>
      <c r="E854" s="17" t="s">
        <v>29</v>
      </c>
      <c r="F854" s="17" t="s">
        <v>567</v>
      </c>
      <c r="G854" s="17"/>
      <c r="H854" s="18">
        <v>27.7500</v>
      </c>
      <c r="I854" s="18">
        <v>0</v>
      </c>
      <c r="J854" s="18">
        <f ca="1">((J853 + H854) - I854)</f>
        <v>0</v>
      </c>
      <c r="K854" s="18">
        <v>0</v>
      </c>
      <c r="L854" s="19">
        <v>0</v>
      </c>
      <c r="M854" s="17" t="s">
        <v>157</v>
      </c>
    </row>
    <row r="855" ht="10.95" customHeight="true" customFormat="true" s="9">
      <c r="A855" s="16">
        <v>45450</v>
      </c>
      <c r="B855" s="17" t="s">
        <v>564</v>
      </c>
      <c r="C855" s="17" t="s">
        <v>332</v>
      </c>
      <c r="D855" s="17" t="s">
        <v>565</v>
      </c>
      <c r="E855" s="17" t="s">
        <v>29</v>
      </c>
      <c r="F855" s="17" t="s">
        <v>568</v>
      </c>
      <c r="G855" s="17"/>
      <c r="H855" s="18">
        <v>12.6200</v>
      </c>
      <c r="I855" s="18">
        <v>0</v>
      </c>
      <c r="J855" s="18">
        <f ca="1">((J854 + H855) - I855)</f>
        <v>0</v>
      </c>
      <c r="K855" s="18">
        <v>0</v>
      </c>
      <c r="L855" s="19">
        <v>0</v>
      </c>
      <c r="M855" s="17" t="s">
        <v>431</v>
      </c>
    </row>
    <row r="856" ht="10.95" customHeight="true" customFormat="true" s="9">
      <c r="A856" s="16">
        <v>45467</v>
      </c>
      <c r="B856" s="17" t="s">
        <v>564</v>
      </c>
      <c r="C856" s="17" t="s">
        <v>332</v>
      </c>
      <c r="D856" s="17" t="s">
        <v>565</v>
      </c>
      <c r="E856" s="17" t="s">
        <v>29</v>
      </c>
      <c r="F856" s="17" t="s">
        <v>568</v>
      </c>
      <c r="G856" s="17"/>
      <c r="H856" s="18">
        <v>10.6200</v>
      </c>
      <c r="I856" s="18">
        <v>0</v>
      </c>
      <c r="J856" s="18">
        <f ca="1">((J855 + H856) - I856)</f>
        <v>0</v>
      </c>
      <c r="K856" s="18">
        <v>0</v>
      </c>
      <c r="L856" s="19">
        <v>0</v>
      </c>
      <c r="M856" s="17" t="s">
        <v>431</v>
      </c>
    </row>
    <row r="857" ht="10.95" customHeight="true" customFormat="true" s="9">
      <c r="A857" s="16">
        <v>45472</v>
      </c>
      <c r="B857" s="17" t="s">
        <v>564</v>
      </c>
      <c r="C857" s="17" t="s">
        <v>332</v>
      </c>
      <c r="D857" s="17" t="s">
        <v>565</v>
      </c>
      <c r="E857" s="17" t="s">
        <v>29</v>
      </c>
      <c r="F857" s="17" t="s">
        <v>567</v>
      </c>
      <c r="G857" s="17"/>
      <c r="H857" s="18">
        <v>27.4800</v>
      </c>
      <c r="I857" s="18">
        <v>0</v>
      </c>
      <c r="J857" s="18">
        <f ca="1">((J856 + H857) - I857)</f>
        <v>0</v>
      </c>
      <c r="K857" s="18">
        <v>0</v>
      </c>
      <c r="L857" s="19">
        <v>0</v>
      </c>
      <c r="M857" s="17" t="s">
        <v>157</v>
      </c>
    </row>
    <row r="858" ht="10.95" customHeight="true" customFormat="true" s="9">
      <c r="A858" s="16">
        <v>45473</v>
      </c>
      <c r="B858" s="17" t="s">
        <v>564</v>
      </c>
      <c r="C858" s="17" t="s">
        <v>332</v>
      </c>
      <c r="D858" s="17" t="s">
        <v>565</v>
      </c>
      <c r="E858" s="17" t="s">
        <v>154</v>
      </c>
      <c r="F858" s="17" t="s">
        <v>569</v>
      </c>
      <c r="G858" s="17" t="s">
        <v>570</v>
      </c>
      <c r="H858" s="18">
        <v>0.0100</v>
      </c>
      <c r="I858" s="18">
        <v>0</v>
      </c>
      <c r="J858" s="18">
        <f ca="1">((J857 + H858) - I858)</f>
        <v>0</v>
      </c>
      <c r="K858" s="18">
        <v>0</v>
      </c>
      <c r="L858" s="19">
        <v>0</v>
      </c>
      <c r="M858" s="17" t="s">
        <v>157</v>
      </c>
    </row>
    <row r="859" ht="10.95" customHeight="true" customFormat="true" s="9">
      <c r="A859" s="16">
        <v>45478</v>
      </c>
      <c r="B859" s="17" t="s">
        <v>564</v>
      </c>
      <c r="C859" s="17" t="s">
        <v>332</v>
      </c>
      <c r="D859" s="17" t="s">
        <v>565</v>
      </c>
      <c r="E859" s="17" t="s">
        <v>29</v>
      </c>
      <c r="F859" s="17" t="s">
        <v>568</v>
      </c>
      <c r="G859" s="17"/>
      <c r="H859" s="18">
        <v>12.3800</v>
      </c>
      <c r="I859" s="18">
        <v>0</v>
      </c>
      <c r="J859" s="18">
        <f ca="1">((J858 + H859) - I859)</f>
        <v>0</v>
      </c>
      <c r="K859" s="18">
        <v>0</v>
      </c>
      <c r="L859" s="19">
        <v>0</v>
      </c>
      <c r="M859" s="17" t="s">
        <v>431</v>
      </c>
    </row>
    <row r="860" ht="10.95" customHeight="true" customFormat="true" s="9">
      <c r="A860" s="16">
        <v>45498</v>
      </c>
      <c r="B860" s="17" t="s">
        <v>564</v>
      </c>
      <c r="C860" s="17" t="s">
        <v>332</v>
      </c>
      <c r="D860" s="17" t="s">
        <v>565</v>
      </c>
      <c r="E860" s="17" t="s">
        <v>29</v>
      </c>
      <c r="F860" s="17" t="s">
        <v>568</v>
      </c>
      <c r="G860" s="17"/>
      <c r="H860" s="18">
        <v>10.8000</v>
      </c>
      <c r="I860" s="18">
        <v>0</v>
      </c>
      <c r="J860" s="18">
        <f ca="1">((J859 + H860) - I860)</f>
        <v>0</v>
      </c>
      <c r="K860" s="18">
        <v>0</v>
      </c>
      <c r="L860" s="19">
        <v>0</v>
      </c>
      <c r="M860" s="17" t="s">
        <v>431</v>
      </c>
    </row>
    <row r="861" ht="10.95" customHeight="true" customFormat="true" s="9">
      <c r="A861" s="16">
        <v>45504</v>
      </c>
      <c r="B861" s="17" t="s">
        <v>564</v>
      </c>
      <c r="C861" s="17" t="s">
        <v>332</v>
      </c>
      <c r="D861" s="17" t="s">
        <v>565</v>
      </c>
      <c r="E861" s="17" t="s">
        <v>154</v>
      </c>
      <c r="F861" s="17" t="s">
        <v>202</v>
      </c>
      <c r="G861" s="17" t="s">
        <v>203</v>
      </c>
      <c r="H861" s="18">
        <v>0.4000</v>
      </c>
      <c r="I861" s="18">
        <v>0</v>
      </c>
      <c r="J861" s="18">
        <f ca="1">((J860 + H861) - I861)</f>
        <v>0</v>
      </c>
      <c r="K861" s="18">
        <v>0</v>
      </c>
      <c r="L861" s="19">
        <v>0</v>
      </c>
      <c r="M861" s="17" t="s">
        <v>157</v>
      </c>
    </row>
    <row r="862" ht="10.95" customHeight="true" customFormat="true" s="9">
      <c r="A862" s="16">
        <v>45506</v>
      </c>
      <c r="B862" s="17" t="s">
        <v>564</v>
      </c>
      <c r="C862" s="17" t="s">
        <v>332</v>
      </c>
      <c r="D862" s="17" t="s">
        <v>565</v>
      </c>
      <c r="E862" s="17" t="s">
        <v>29</v>
      </c>
      <c r="F862" s="17" t="s">
        <v>567</v>
      </c>
      <c r="G862" s="17"/>
      <c r="H862" s="18">
        <v>12.7700</v>
      </c>
      <c r="I862" s="18">
        <v>0</v>
      </c>
      <c r="J862" s="18">
        <f ca="1">((J861 + H862) - I862)</f>
        <v>0</v>
      </c>
      <c r="K862" s="18">
        <v>0</v>
      </c>
      <c r="L862" s="19">
        <v>0</v>
      </c>
      <c r="M862" s="17" t="s">
        <v>157</v>
      </c>
    </row>
    <row r="863" ht="10.95" customHeight="true" customFormat="true" s="9">
      <c r="A863" s="16">
        <v>45510</v>
      </c>
      <c r="B863" s="17" t="s">
        <v>564</v>
      </c>
      <c r="C863" s="17" t="s">
        <v>332</v>
      </c>
      <c r="D863" s="17" t="s">
        <v>565</v>
      </c>
      <c r="E863" s="17" t="s">
        <v>29</v>
      </c>
      <c r="F863" s="17" t="s">
        <v>567</v>
      </c>
      <c r="G863" s="17"/>
      <c r="H863" s="18">
        <v>28.3500</v>
      </c>
      <c r="I863" s="18">
        <v>0</v>
      </c>
      <c r="J863" s="18">
        <f ca="1">((J862 + H863) - I863)</f>
        <v>0</v>
      </c>
      <c r="K863" s="18">
        <v>0</v>
      </c>
      <c r="L863" s="19">
        <v>0</v>
      </c>
      <c r="M863" s="17" t="s">
        <v>157</v>
      </c>
    </row>
    <row r="864" ht="10.95" customHeight="true" customFormat="true" s="9">
      <c r="A864" s="16">
        <v>45525</v>
      </c>
      <c r="B864" s="17" t="s">
        <v>564</v>
      </c>
      <c r="C864" s="17" t="s">
        <v>332</v>
      </c>
      <c r="D864" s="17" t="s">
        <v>565</v>
      </c>
      <c r="E864" s="17" t="s">
        <v>29</v>
      </c>
      <c r="F864" s="17" t="s">
        <v>567</v>
      </c>
      <c r="G864" s="17"/>
      <c r="H864" s="18">
        <v>12.4000</v>
      </c>
      <c r="I864" s="18">
        <v>0</v>
      </c>
      <c r="J864" s="18">
        <f ca="1">((J863 + H864) - I864)</f>
        <v>0</v>
      </c>
      <c r="K864" s="18">
        <v>0</v>
      </c>
      <c r="L864" s="19">
        <v>0</v>
      </c>
      <c r="M864" s="17" t="s">
        <v>157</v>
      </c>
    </row>
    <row r="865" ht="10.95" customHeight="true" customFormat="true" s="9">
      <c r="A865" s="16">
        <v>45527</v>
      </c>
      <c r="B865" s="17" t="s">
        <v>564</v>
      </c>
      <c r="C865" s="17" t="s">
        <v>332</v>
      </c>
      <c r="D865" s="17" t="s">
        <v>565</v>
      </c>
      <c r="E865" s="17" t="s">
        <v>29</v>
      </c>
      <c r="F865" s="17" t="s">
        <v>567</v>
      </c>
      <c r="G865" s="17"/>
      <c r="H865" s="18">
        <v>10.5000</v>
      </c>
      <c r="I865" s="18">
        <v>0</v>
      </c>
      <c r="J865" s="18">
        <f ca="1">((J864 + H865) - I865)</f>
        <v>0</v>
      </c>
      <c r="K865" s="18">
        <v>0</v>
      </c>
      <c r="L865" s="19">
        <v>0</v>
      </c>
      <c r="M865" s="17" t="s">
        <v>157</v>
      </c>
    </row>
    <row r="866" ht="10.95" customHeight="true" customFormat="true" s="9">
      <c r="A866" s="16">
        <v>45530</v>
      </c>
      <c r="B866" s="17" t="s">
        <v>564</v>
      </c>
      <c r="C866" s="17" t="s">
        <v>332</v>
      </c>
      <c r="D866" s="17" t="s">
        <v>565</v>
      </c>
      <c r="E866" s="17" t="s">
        <v>29</v>
      </c>
      <c r="F866" s="17" t="s">
        <v>567</v>
      </c>
      <c r="G866" s="17"/>
      <c r="H866" s="18">
        <v>0.0100</v>
      </c>
      <c r="I866" s="18">
        <v>0</v>
      </c>
      <c r="J866" s="18">
        <f ca="1">((J865 + H866) - I866)</f>
        <v>0</v>
      </c>
      <c r="K866" s="18">
        <v>0</v>
      </c>
      <c r="L866" s="19">
        <v>0</v>
      </c>
      <c r="M866" s="17" t="s">
        <v>157</v>
      </c>
    </row>
    <row r="867" ht="10.95" customHeight="true" customFormat="true" s="9">
      <c r="A867" s="16">
        <v>45539</v>
      </c>
      <c r="B867" s="17" t="s">
        <v>564</v>
      </c>
      <c r="C867" s="17" t="s">
        <v>332</v>
      </c>
      <c r="D867" s="17" t="s">
        <v>565</v>
      </c>
      <c r="E867" s="17" t="s">
        <v>29</v>
      </c>
      <c r="F867" s="17" t="s">
        <v>567</v>
      </c>
      <c r="G867" s="17"/>
      <c r="H867" s="18">
        <v>27.2900</v>
      </c>
      <c r="I867" s="18">
        <v>0</v>
      </c>
      <c r="J867" s="18">
        <f ca="1">((J866 + H867) - I867)</f>
        <v>0</v>
      </c>
      <c r="K867" s="18">
        <v>0</v>
      </c>
      <c r="L867" s="19">
        <v>0</v>
      </c>
      <c r="M867" s="17" t="s">
        <v>157</v>
      </c>
    </row>
    <row r="868" ht="10.95" customHeight="true" customFormat="true" s="9">
      <c r="A868" s="16">
        <v>45552</v>
      </c>
      <c r="B868" s="17" t="s">
        <v>564</v>
      </c>
      <c r="C868" s="17" t="s">
        <v>332</v>
      </c>
      <c r="D868" s="17" t="s">
        <v>565</v>
      </c>
      <c r="E868" s="17" t="s">
        <v>29</v>
      </c>
      <c r="F868" s="17" t="s">
        <v>567</v>
      </c>
      <c r="G868" s="17"/>
      <c r="H868" s="18">
        <v>12.3900</v>
      </c>
      <c r="I868" s="18">
        <v>0</v>
      </c>
      <c r="J868" s="18">
        <f ca="1">((J867 + H868) - I868)</f>
        <v>0</v>
      </c>
      <c r="K868" s="18">
        <v>0</v>
      </c>
      <c r="L868" s="19">
        <v>0</v>
      </c>
      <c r="M868" s="17" t="s">
        <v>157</v>
      </c>
    </row>
    <row r="869" ht="10.95" customHeight="true" customFormat="true" s="9">
      <c r="A869" s="16">
        <v>45558</v>
      </c>
      <c r="B869" s="17" t="s">
        <v>564</v>
      </c>
      <c r="C869" s="17" t="s">
        <v>332</v>
      </c>
      <c r="D869" s="17" t="s">
        <v>565</v>
      </c>
      <c r="E869" s="17" t="s">
        <v>29</v>
      </c>
      <c r="F869" s="17" t="s">
        <v>567</v>
      </c>
      <c r="G869" s="17"/>
      <c r="H869" s="18">
        <v>10.3400</v>
      </c>
      <c r="I869" s="18">
        <v>0</v>
      </c>
      <c r="J869" s="18">
        <f ca="1">((J868 + H869) - I869)</f>
        <v>0</v>
      </c>
      <c r="K869" s="18">
        <v>0</v>
      </c>
      <c r="L869" s="19">
        <v>0</v>
      </c>
      <c r="M869" s="17" t="s">
        <v>157</v>
      </c>
    </row>
    <row r="870" ht="10.95" customHeight="true" customFormat="true" s="9">
      <c r="A870" s="16">
        <v>45565</v>
      </c>
      <c r="B870" s="17" t="s">
        <v>564</v>
      </c>
      <c r="C870" s="17" t="s">
        <v>332</v>
      </c>
      <c r="D870" s="17" t="s">
        <v>565</v>
      </c>
      <c r="E870" s="17" t="s">
        <v>154</v>
      </c>
      <c r="F870" s="17" t="s">
        <v>571</v>
      </c>
      <c r="G870" s="17" t="s">
        <v>572</v>
      </c>
      <c r="H870" s="18">
        <v>0.0100</v>
      </c>
      <c r="I870" s="18">
        <v>0</v>
      </c>
      <c r="J870" s="18">
        <f ca="1">((J869 + H870) - I870)</f>
        <v>0</v>
      </c>
      <c r="K870" s="18">
        <v>0</v>
      </c>
      <c r="L870" s="19">
        <v>0</v>
      </c>
      <c r="M870" s="17" t="s">
        <v>157</v>
      </c>
    </row>
    <row r="871" ht="10.95" customHeight="true" customFormat="true" s="9">
      <c r="A871" s="16">
        <v>45565</v>
      </c>
      <c r="B871" s="17" t="s">
        <v>564</v>
      </c>
      <c r="C871" s="17" t="s">
        <v>332</v>
      </c>
      <c r="D871" s="17" t="s">
        <v>565</v>
      </c>
      <c r="E871" s="17" t="s">
        <v>47</v>
      </c>
      <c r="F871" s="17" t="s">
        <v>567</v>
      </c>
      <c r="G871" s="17"/>
      <c r="H871" s="18">
        <v>0</v>
      </c>
      <c r="I871" s="18">
        <v>0.0200</v>
      </c>
      <c r="J871" s="18">
        <f ca="1">((J870 + H871) - I871)</f>
        <v>0</v>
      </c>
      <c r="K871" s="18">
        <v>0</v>
      </c>
      <c r="L871" s="19">
        <v>0</v>
      </c>
      <c r="M871" s="17" t="s">
        <v>157</v>
      </c>
    </row>
    <row r="872" ht="10.95" customHeight="true" customFormat="true" s="9">
      <c r="A872" s="16">
        <v>45565</v>
      </c>
      <c r="B872" s="17" t="s">
        <v>564</v>
      </c>
      <c r="C872" s="17" t="s">
        <v>332</v>
      </c>
      <c r="D872" s="17" t="s">
        <v>565</v>
      </c>
      <c r="E872" s="17" t="s">
        <v>154</v>
      </c>
      <c r="F872" s="17" t="s">
        <v>167</v>
      </c>
      <c r="G872" s="17" t="s">
        <v>168</v>
      </c>
      <c r="H872" s="18">
        <v>0</v>
      </c>
      <c r="I872" s="18">
        <v>0.2100</v>
      </c>
      <c r="J872" s="18">
        <f ca="1">((J871 + H872) - I872)</f>
        <v>0</v>
      </c>
      <c r="K872" s="18">
        <v>0</v>
      </c>
      <c r="L872" s="19">
        <v>0</v>
      </c>
      <c r="M872" s="17" t="s">
        <v>157</v>
      </c>
    </row>
    <row r="873" ht="10.95" customHeight="true" customFormat="true" s="9">
      <c r="A873" s="16">
        <v>45565</v>
      </c>
      <c r="B873" s="17" t="s">
        <v>564</v>
      </c>
      <c r="C873" s="17" t="s">
        <v>332</v>
      </c>
      <c r="D873" s="17" t="s">
        <v>565</v>
      </c>
      <c r="E873" s="17" t="s">
        <v>154</v>
      </c>
      <c r="F873" s="17" t="s">
        <v>442</v>
      </c>
      <c r="G873" s="17" t="s">
        <v>168</v>
      </c>
      <c r="H873" s="18">
        <v>0.0900</v>
      </c>
      <c r="I873" s="18">
        <v>0</v>
      </c>
      <c r="J873" s="18">
        <f ca="1">((J872 + H873) - I873)</f>
        <v>0</v>
      </c>
      <c r="K873" s="18">
        <v>0</v>
      </c>
      <c r="L873" s="19">
        <v>0</v>
      </c>
      <c r="M873" s="17" t="s">
        <v>157</v>
      </c>
    </row>
    <row r="874" ht="10.95" customHeight="true" customFormat="true" s="9">
      <c r="A874" s="16">
        <v>45565</v>
      </c>
      <c r="B874" s="17" t="s">
        <v>564</v>
      </c>
      <c r="C874" s="17" t="s">
        <v>332</v>
      </c>
      <c r="D874" s="17" t="s">
        <v>565</v>
      </c>
      <c r="E874" s="17" t="s">
        <v>154</v>
      </c>
      <c r="F874" s="17" t="s">
        <v>233</v>
      </c>
      <c r="G874" s="17" t="s">
        <v>234</v>
      </c>
      <c r="H874" s="18">
        <v>0</v>
      </c>
      <c r="I874" s="18">
        <v>3.3500</v>
      </c>
      <c r="J874" s="18">
        <f ca="1">((J873 + H874) - I874)</f>
        <v>0</v>
      </c>
      <c r="K874" s="18">
        <v>0</v>
      </c>
      <c r="L874" s="19">
        <v>0</v>
      </c>
      <c r="M874" s="17" t="s">
        <v>157</v>
      </c>
    </row>
    <row r="875" ht="10.95" customHeight="true" customFormat="true" s="9">
      <c r="A875" s="16">
        <v>45568</v>
      </c>
      <c r="B875" s="17" t="s">
        <v>564</v>
      </c>
      <c r="C875" s="17" t="s">
        <v>332</v>
      </c>
      <c r="D875" s="17" t="s">
        <v>565</v>
      </c>
      <c r="E875" s="17" t="s">
        <v>29</v>
      </c>
      <c r="F875" s="17" t="s">
        <v>567</v>
      </c>
      <c r="G875" s="17"/>
      <c r="H875" s="18">
        <v>26.9000</v>
      </c>
      <c r="I875" s="18">
        <v>0</v>
      </c>
      <c r="J875" s="18">
        <f ca="1">((J874 + H875) - I875)</f>
        <v>0</v>
      </c>
      <c r="K875" s="18">
        <v>0</v>
      </c>
      <c r="L875" s="19">
        <v>0</v>
      </c>
      <c r="M875" s="17" t="s">
        <v>157</v>
      </c>
    </row>
    <row r="876" ht="10.95" customHeight="true" customFormat="true" s="9">
      <c r="A876" s="16">
        <v>45575</v>
      </c>
      <c r="B876" s="17" t="s">
        <v>564</v>
      </c>
      <c r="C876" s="17" t="s">
        <v>332</v>
      </c>
      <c r="D876" s="17" t="s">
        <v>565</v>
      </c>
      <c r="E876" s="17" t="s">
        <v>29</v>
      </c>
      <c r="F876" s="17" t="s">
        <v>567</v>
      </c>
      <c r="G876" s="17"/>
      <c r="H876" s="18">
        <v>11.3000</v>
      </c>
      <c r="I876" s="18">
        <v>0</v>
      </c>
      <c r="J876" s="18">
        <f ca="1">((J875 + H876) - I876)</f>
        <v>0</v>
      </c>
      <c r="K876" s="18">
        <v>0</v>
      </c>
      <c r="L876" s="19">
        <v>0</v>
      </c>
      <c r="M876" s="17" t="s">
        <v>157</v>
      </c>
    </row>
    <row r="877" ht="10.95" customHeight="true" customFormat="true" s="9">
      <c r="A877" s="16">
        <v>45583</v>
      </c>
      <c r="B877" s="17" t="s">
        <v>564</v>
      </c>
      <c r="C877" s="17" t="s">
        <v>332</v>
      </c>
      <c r="D877" s="17" t="s">
        <v>565</v>
      </c>
      <c r="E877" s="17" t="s">
        <v>29</v>
      </c>
      <c r="F877" s="17" t="s">
        <v>567</v>
      </c>
      <c r="G877" s="17"/>
      <c r="H877" s="18">
        <v>12.4900</v>
      </c>
      <c r="I877" s="18">
        <v>0</v>
      </c>
      <c r="J877" s="18">
        <f ca="1">((J876 + H877) - I877)</f>
        <v>0</v>
      </c>
      <c r="K877" s="18">
        <v>0</v>
      </c>
      <c r="L877" s="19">
        <v>0</v>
      </c>
      <c r="M877" s="17" t="s">
        <v>157</v>
      </c>
    </row>
    <row r="878" ht="10.95" customHeight="true" customFormat="true" s="9">
      <c r="A878" s="16">
        <v>45587</v>
      </c>
      <c r="B878" s="17" t="s">
        <v>564</v>
      </c>
      <c r="C878" s="17" t="s">
        <v>332</v>
      </c>
      <c r="D878" s="17" t="s">
        <v>565</v>
      </c>
      <c r="E878" s="17" t="s">
        <v>29</v>
      </c>
      <c r="F878" s="17" t="s">
        <v>567</v>
      </c>
      <c r="G878" s="17"/>
      <c r="H878" s="18">
        <v>10.6100</v>
      </c>
      <c r="I878" s="18">
        <v>0</v>
      </c>
      <c r="J878" s="18">
        <f ca="1">((J877 + H878) - I878)</f>
        <v>0</v>
      </c>
      <c r="K878" s="18">
        <v>0</v>
      </c>
      <c r="L878" s="19">
        <v>0</v>
      </c>
      <c r="M878" s="17" t="s">
        <v>157</v>
      </c>
    </row>
    <row r="879" ht="10.95" customHeight="true" customFormat="true" s="9">
      <c r="A879" s="16">
        <v>45596</v>
      </c>
      <c r="B879" s="17" t="s">
        <v>564</v>
      </c>
      <c r="C879" s="17" t="s">
        <v>332</v>
      </c>
      <c r="D879" s="17" t="s">
        <v>565</v>
      </c>
      <c r="E879" s="17" t="s">
        <v>154</v>
      </c>
      <c r="F879" s="17" t="s">
        <v>571</v>
      </c>
      <c r="G879" s="17" t="s">
        <v>573</v>
      </c>
      <c r="H879" s="18">
        <v>0.0100</v>
      </c>
      <c r="I879" s="18">
        <v>0</v>
      </c>
      <c r="J879" s="18">
        <f ca="1">((J878 + H879) - I879)</f>
        <v>0</v>
      </c>
      <c r="K879" s="18">
        <v>0</v>
      </c>
      <c r="L879" s="19">
        <v>0</v>
      </c>
      <c r="M879" s="17" t="s">
        <v>157</v>
      </c>
    </row>
    <row r="880" ht="10.95" customHeight="true" customFormat="true" s="9">
      <c r="A880" s="16">
        <v>45598</v>
      </c>
      <c r="B880" s="17" t="s">
        <v>564</v>
      </c>
      <c r="C880" s="17" t="s">
        <v>332</v>
      </c>
      <c r="D880" s="17" t="s">
        <v>565</v>
      </c>
      <c r="E880" s="17" t="s">
        <v>29</v>
      </c>
      <c r="F880" s="17" t="s">
        <v>567</v>
      </c>
      <c r="G880" s="17"/>
      <c r="H880" s="18">
        <v>28.0300</v>
      </c>
      <c r="I880" s="18">
        <v>0</v>
      </c>
      <c r="J880" s="18">
        <f ca="1">((J879 + H880) - I880)</f>
        <v>0</v>
      </c>
      <c r="K880" s="18">
        <v>0</v>
      </c>
      <c r="L880" s="19">
        <v>0</v>
      </c>
      <c r="M880" s="17" t="s">
        <v>157</v>
      </c>
    </row>
    <row r="881" ht="10.95" customHeight="true" customFormat="true" s="9">
      <c r="A881" s="16">
        <v>45611</v>
      </c>
      <c r="B881" s="17" t="s">
        <v>564</v>
      </c>
      <c r="C881" s="17" t="s">
        <v>332</v>
      </c>
      <c r="D881" s="17" t="s">
        <v>565</v>
      </c>
      <c r="E881" s="17" t="s">
        <v>29</v>
      </c>
      <c r="F881" s="17" t="s">
        <v>567</v>
      </c>
      <c r="G881" s="17"/>
      <c r="H881" s="18">
        <v>12.9300</v>
      </c>
      <c r="I881" s="18">
        <v>0</v>
      </c>
      <c r="J881" s="18">
        <f ca="1">((J880 + H881) - I881)</f>
        <v>0</v>
      </c>
      <c r="K881" s="18">
        <v>0</v>
      </c>
      <c r="L881" s="19">
        <v>0</v>
      </c>
      <c r="M881" s="17" t="s">
        <v>157</v>
      </c>
    </row>
    <row r="882" ht="10.95" customHeight="true" customFormat="true" s="9">
      <c r="A882" s="16">
        <v>45616</v>
      </c>
      <c r="B882" s="17" t="s">
        <v>564</v>
      </c>
      <c r="C882" s="17" t="s">
        <v>332</v>
      </c>
      <c r="D882" s="17" t="s">
        <v>565</v>
      </c>
      <c r="E882" s="17" t="s">
        <v>29</v>
      </c>
      <c r="F882" s="17" t="s">
        <v>567</v>
      </c>
      <c r="G882" s="17"/>
      <c r="H882" s="18">
        <v>10.8900</v>
      </c>
      <c r="I882" s="18">
        <v>0</v>
      </c>
      <c r="J882" s="18">
        <f ca="1">((J881 + H882) - I882)</f>
        <v>0</v>
      </c>
      <c r="K882" s="18">
        <v>0</v>
      </c>
      <c r="L882" s="19">
        <v>0</v>
      </c>
      <c r="M882" s="17" t="s">
        <v>157</v>
      </c>
    </row>
    <row r="883" ht="10.95" customHeight="true" customFormat="true" s="9">
      <c r="A883" s="16">
        <v>45621</v>
      </c>
      <c r="B883" s="17" t="s">
        <v>564</v>
      </c>
      <c r="C883" s="17" t="s">
        <v>332</v>
      </c>
      <c r="D883" s="17" t="s">
        <v>565</v>
      </c>
      <c r="E883" s="17" t="s">
        <v>29</v>
      </c>
      <c r="F883" s="17" t="s">
        <v>567</v>
      </c>
      <c r="G883" s="17"/>
      <c r="H883" s="18">
        <v>12.8700</v>
      </c>
      <c r="I883" s="18">
        <v>0</v>
      </c>
      <c r="J883" s="18">
        <f ca="1">((J882 + H883) - I883)</f>
        <v>0</v>
      </c>
      <c r="K883" s="18">
        <v>0</v>
      </c>
      <c r="L883" s="19">
        <v>0</v>
      </c>
      <c r="M883" s="17" t="s">
        <v>157</v>
      </c>
    </row>
    <row r="884" ht="10.95" customHeight="true" customFormat="true" s="9">
      <c r="A884" s="16">
        <v>45629</v>
      </c>
      <c r="B884" s="17" t="s">
        <v>564</v>
      </c>
      <c r="C884" s="17" t="s">
        <v>332</v>
      </c>
      <c r="D884" s="17" t="s">
        <v>565</v>
      </c>
      <c r="E884" s="17" t="s">
        <v>29</v>
      </c>
      <c r="F884" s="17" t="s">
        <v>567</v>
      </c>
      <c r="G884" s="17"/>
      <c r="H884" s="18">
        <v>28.3000</v>
      </c>
      <c r="I884" s="18">
        <v>0</v>
      </c>
      <c r="J884" s="18">
        <f ca="1">((J883 + H884) - I884)</f>
        <v>0</v>
      </c>
      <c r="K884" s="18">
        <v>0</v>
      </c>
      <c r="L884" s="19">
        <v>0</v>
      </c>
      <c r="M884" s="17" t="s">
        <v>157</v>
      </c>
    </row>
    <row r="885" ht="10.95" customHeight="true" customFormat="true" s="9">
      <c r="A885" s="16">
        <v>45635</v>
      </c>
      <c r="B885" s="17" t="s">
        <v>564</v>
      </c>
      <c r="C885" s="17" t="s">
        <v>332</v>
      </c>
      <c r="D885" s="17" t="s">
        <v>565</v>
      </c>
      <c r="E885" s="17" t="s">
        <v>29</v>
      </c>
      <c r="F885" s="17" t="s">
        <v>567</v>
      </c>
      <c r="G885" s="17"/>
      <c r="H885" s="18">
        <v>12.9900</v>
      </c>
      <c r="I885" s="18">
        <v>0</v>
      </c>
      <c r="J885" s="18">
        <f ca="1">((J884 + H885) - I885)</f>
        <v>0</v>
      </c>
      <c r="K885" s="18">
        <v>0</v>
      </c>
      <c r="L885" s="19">
        <v>0</v>
      </c>
      <c r="M885" s="17" t="s">
        <v>157</v>
      </c>
    </row>
    <row r="886" ht="10.95" customHeight="true" customFormat="true" s="9">
      <c r="A886" s="16">
        <v>45643</v>
      </c>
      <c r="B886" s="17" t="s">
        <v>564</v>
      </c>
      <c r="C886" s="17" t="s">
        <v>332</v>
      </c>
      <c r="D886" s="17" t="s">
        <v>565</v>
      </c>
      <c r="E886" s="17" t="s">
        <v>29</v>
      </c>
      <c r="F886" s="17" t="s">
        <v>567</v>
      </c>
      <c r="G886" s="17"/>
      <c r="H886" s="18">
        <v>11.1800</v>
      </c>
      <c r="I886" s="18">
        <v>0</v>
      </c>
      <c r="J886" s="18">
        <f ca="1">((J885 + H886) - I886)</f>
        <v>0</v>
      </c>
      <c r="K886" s="18">
        <v>0</v>
      </c>
      <c r="L886" s="19">
        <v>0</v>
      </c>
      <c r="M886" s="17" t="s">
        <v>157</v>
      </c>
    </row>
    <row r="887" ht="10.95" customHeight="true" customFormat="true" s="9">
      <c r="A887" s="16">
        <v>45650</v>
      </c>
      <c r="B887" s="17" t="s">
        <v>564</v>
      </c>
      <c r="C887" s="17" t="s">
        <v>332</v>
      </c>
      <c r="D887" s="17" t="s">
        <v>565</v>
      </c>
      <c r="E887" s="17" t="s">
        <v>29</v>
      </c>
      <c r="F887" s="17" t="s">
        <v>567</v>
      </c>
      <c r="G887" s="17"/>
      <c r="H887" s="18">
        <v>13.4500</v>
      </c>
      <c r="I887" s="18">
        <v>0</v>
      </c>
      <c r="J887" s="18">
        <f ca="1">((J886 + H887) - I887)</f>
        <v>0</v>
      </c>
      <c r="K887" s="18">
        <v>0</v>
      </c>
      <c r="L887" s="19">
        <v>0</v>
      </c>
      <c r="M887" s="17" t="s">
        <v>157</v>
      </c>
    </row>
    <row r="888" ht="10.95" customHeight="true" customFormat="true" s="9">
      <c r="A888" s="16">
        <v>45653</v>
      </c>
      <c r="B888" s="17" t="s">
        <v>564</v>
      </c>
      <c r="C888" s="17" t="s">
        <v>332</v>
      </c>
      <c r="D888" s="17" t="s">
        <v>565</v>
      </c>
      <c r="E888" s="17" t="s">
        <v>29</v>
      </c>
      <c r="F888" s="17" t="s">
        <v>567</v>
      </c>
      <c r="G888" s="17"/>
      <c r="H888" s="18">
        <v>29.5700</v>
      </c>
      <c r="I888" s="18">
        <v>0</v>
      </c>
      <c r="J888" s="18">
        <f ca="1">((J887 + H888) - I888)</f>
        <v>0</v>
      </c>
      <c r="K888" s="18">
        <v>0</v>
      </c>
      <c r="L888" s="19">
        <v>0</v>
      </c>
      <c r="M888" s="17" t="s">
        <v>157</v>
      </c>
    </row>
    <row r="889" ht="10.95" customHeight="true" customFormat="true" s="9">
      <c r="A889" s="16">
        <v>45666</v>
      </c>
      <c r="B889" s="17" t="s">
        <v>564</v>
      </c>
      <c r="C889" s="17" t="s">
        <v>332</v>
      </c>
      <c r="D889" s="17" t="s">
        <v>565</v>
      </c>
      <c r="E889" s="17" t="s">
        <v>29</v>
      </c>
      <c r="F889" s="17" t="s">
        <v>567</v>
      </c>
      <c r="G889" s="17"/>
      <c r="H889" s="18">
        <v>13.5000</v>
      </c>
      <c r="I889" s="18">
        <v>0</v>
      </c>
      <c r="J889" s="18">
        <f ca="1">((J888 + H889) - I889)</f>
        <v>0</v>
      </c>
      <c r="K889" s="18">
        <v>0</v>
      </c>
      <c r="L889" s="19">
        <v>0</v>
      </c>
      <c r="M889" s="17" t="s">
        <v>157</v>
      </c>
    </row>
    <row r="890" ht="10.95" customHeight="true" customFormat="true" s="9">
      <c r="A890" s="16">
        <v>45677</v>
      </c>
      <c r="B890" s="17" t="s">
        <v>564</v>
      </c>
      <c r="C890" s="17" t="s">
        <v>332</v>
      </c>
      <c r="D890" s="17" t="s">
        <v>565</v>
      </c>
      <c r="E890" s="17" t="s">
        <v>29</v>
      </c>
      <c r="F890" s="17" t="s">
        <v>567</v>
      </c>
      <c r="G890" s="17"/>
      <c r="H890" s="18">
        <v>11.4100</v>
      </c>
      <c r="I890" s="18">
        <v>0</v>
      </c>
      <c r="J890" s="18">
        <f ca="1">((J889 + H890) - I890)</f>
        <v>0</v>
      </c>
      <c r="K890" s="18">
        <v>0</v>
      </c>
      <c r="L890" s="19">
        <v>0</v>
      </c>
      <c r="M890" s="17" t="s">
        <v>157</v>
      </c>
    </row>
    <row r="891" ht="10.95" customHeight="true" customFormat="true" s="9">
      <c r="A891" s="16">
        <v>45685</v>
      </c>
      <c r="B891" s="17" t="s">
        <v>564</v>
      </c>
      <c r="C891" s="17" t="s">
        <v>332</v>
      </c>
      <c r="D891" s="17" t="s">
        <v>565</v>
      </c>
      <c r="E891" s="17" t="s">
        <v>29</v>
      </c>
      <c r="F891" s="17" t="s">
        <v>567</v>
      </c>
      <c r="G891" s="17"/>
      <c r="H891" s="18">
        <v>29.3900</v>
      </c>
      <c r="I891" s="18">
        <v>0</v>
      </c>
      <c r="J891" s="18">
        <f ca="1">((J890 + H891) - I891)</f>
        <v>0</v>
      </c>
      <c r="K891" s="18">
        <v>0</v>
      </c>
      <c r="L891" s="19">
        <v>0</v>
      </c>
      <c r="M891" s="17" t="s">
        <v>157</v>
      </c>
    </row>
    <row r="892" ht="10.95" customHeight="true" customFormat="true" s="9">
      <c r="A892" s="16">
        <v>45712</v>
      </c>
      <c r="B892" s="17" t="s">
        <v>564</v>
      </c>
      <c r="C892" s="17" t="s">
        <v>332</v>
      </c>
      <c r="D892" s="17" t="s">
        <v>565</v>
      </c>
      <c r="E892" s="17" t="s">
        <v>29</v>
      </c>
      <c r="F892" s="17" t="s">
        <v>567</v>
      </c>
      <c r="G892" s="17"/>
      <c r="H892" s="18">
        <v>13.1600</v>
      </c>
      <c r="I892" s="18">
        <v>0</v>
      </c>
      <c r="J892" s="18">
        <f ca="1">((J891 + H892) - I892)</f>
        <v>0</v>
      </c>
      <c r="K892" s="18">
        <v>0</v>
      </c>
      <c r="L892" s="19">
        <v>0</v>
      </c>
      <c r="M892" s="17" t="s">
        <v>157</v>
      </c>
    </row>
    <row r="893" ht="10.95" customHeight="true" customFormat="true" s="9">
      <c r="A893" s="16">
        <v>45712</v>
      </c>
      <c r="B893" s="17" t="s">
        <v>564</v>
      </c>
      <c r="C893" s="17" t="s">
        <v>332</v>
      </c>
      <c r="D893" s="17" t="s">
        <v>565</v>
      </c>
      <c r="E893" s="17" t="s">
        <v>29</v>
      </c>
      <c r="F893" s="17" t="s">
        <v>567</v>
      </c>
      <c r="G893" s="17"/>
      <c r="H893" s="18">
        <v>11.1300</v>
      </c>
      <c r="I893" s="18">
        <v>0</v>
      </c>
      <c r="J893" s="18">
        <f ca="1">((J892 + H893) - I893)</f>
        <v>0</v>
      </c>
      <c r="K893" s="18">
        <v>0</v>
      </c>
      <c r="L893" s="19">
        <v>0</v>
      </c>
      <c r="M893" s="17" t="s">
        <v>157</v>
      </c>
    </row>
    <row r="894" ht="10.95" customHeight="true" customFormat="true" s="9">
      <c r="A894" s="16">
        <v>45720</v>
      </c>
      <c r="B894" s="17" t="s">
        <v>564</v>
      </c>
      <c r="C894" s="17" t="s">
        <v>332</v>
      </c>
      <c r="D894" s="17" t="s">
        <v>565</v>
      </c>
      <c r="E894" s="17" t="s">
        <v>29</v>
      </c>
      <c r="F894" s="17" t="s">
        <v>567</v>
      </c>
      <c r="G894" s="17"/>
      <c r="H894" s="18">
        <v>29.4500</v>
      </c>
      <c r="I894" s="18">
        <v>0</v>
      </c>
      <c r="J894" s="18">
        <f ca="1">((J893 + H894) - I894)</f>
        <v>0</v>
      </c>
      <c r="K894" s="18">
        <v>0</v>
      </c>
      <c r="L894" s="19">
        <v>0</v>
      </c>
      <c r="M894" s="17" t="s">
        <v>157</v>
      </c>
    </row>
    <row r="895" ht="10.95" customHeight="true" customFormat="true" s="9">
      <c r="A895" s="16">
        <v>45735</v>
      </c>
      <c r="B895" s="17" t="s">
        <v>564</v>
      </c>
      <c r="C895" s="17" t="s">
        <v>332</v>
      </c>
      <c r="D895" s="17" t="s">
        <v>565</v>
      </c>
      <c r="E895" s="17" t="s">
        <v>29</v>
      </c>
      <c r="F895" s="17" t="s">
        <v>568</v>
      </c>
      <c r="G895" s="17"/>
      <c r="H895" s="18">
        <v>13.2300</v>
      </c>
      <c r="I895" s="18">
        <v>0</v>
      </c>
      <c r="J895" s="18">
        <f ca="1">((J894 + H895) - I895)</f>
        <v>0</v>
      </c>
      <c r="K895" s="18">
        <v>0</v>
      </c>
      <c r="L895" s="19">
        <v>0</v>
      </c>
      <c r="M895" s="17" t="s">
        <v>431</v>
      </c>
    </row>
    <row r="896" ht="10.95" customHeight="true" customFormat="true" s="9">
      <c r="A896" s="16">
        <v>45737</v>
      </c>
      <c r="B896" s="17" t="s">
        <v>564</v>
      </c>
      <c r="C896" s="17" t="s">
        <v>332</v>
      </c>
      <c r="D896" s="17" t="s">
        <v>565</v>
      </c>
      <c r="E896" s="17" t="s">
        <v>29</v>
      </c>
      <c r="F896" s="17" t="s">
        <v>567</v>
      </c>
      <c r="G896" s="17"/>
      <c r="H896" s="18">
        <v>11.2700</v>
      </c>
      <c r="I896" s="18">
        <v>0</v>
      </c>
      <c r="J896" s="18">
        <f ca="1">((J895 + H896) - I896)</f>
        <v>0</v>
      </c>
      <c r="K896" s="18">
        <v>0</v>
      </c>
      <c r="L896" s="19">
        <v>0</v>
      </c>
      <c r="M896" s="17" t="s">
        <v>157</v>
      </c>
    </row>
    <row r="897" ht="10.95" customHeight="true" customFormat="true" s="9">
      <c r="A897" s="16">
        <v>45747</v>
      </c>
      <c r="B897" s="17" t="s">
        <v>564</v>
      </c>
      <c r="C897" s="17" t="s">
        <v>332</v>
      </c>
      <c r="D897" s="17" t="s">
        <v>565</v>
      </c>
      <c r="E897" s="17" t="s">
        <v>154</v>
      </c>
      <c r="F897" s="17" t="s">
        <v>174</v>
      </c>
      <c r="G897" s="17" t="s">
        <v>156</v>
      </c>
      <c r="H897" s="18">
        <v>0.2100</v>
      </c>
      <c r="I897" s="18">
        <v>0</v>
      </c>
      <c r="J897" s="18">
        <f ca="1">((J896 + H897) - I897)</f>
        <v>0</v>
      </c>
      <c r="K897" s="18">
        <v>0</v>
      </c>
      <c r="L897" s="19">
        <v>0</v>
      </c>
      <c r="M897" s="17" t="s">
        <v>157</v>
      </c>
    </row>
    <row r="898" ht="10.95" customHeight="true" customFormat="true" s="9">
      <c r="A898" s="20" t="s">
        <v>574</v>
      </c>
      <c r="B898" s="20"/>
      <c r="C898" s="20"/>
      <c r="D898" s="20"/>
      <c r="E898" s="20"/>
      <c r="F898" s="20"/>
      <c r="G898" s="20"/>
      <c r="H898" s="21">
        <f ca="1">SUM(H847:H897)</f>
        <v>0</v>
      </c>
      <c r="I898" s="21">
        <f ca="1">SUM(I847:I897)</f>
        <v>0</v>
      </c>
      <c r="J898" s="21">
        <f ca="1">J897</f>
        <v>0</v>
      </c>
      <c r="K898" s="21">
        <f ca="1">SUM(K847:K897)</f>
        <v>0</v>
      </c>
      <c r="L898" s="20"/>
      <c r="M898" s="20"/>
    </row>
    <row r="899" ht="10.95" customHeight="true" customFormat="true" s="9">
      <c r="A899" s="20" t="s">
        <v>25</v>
      </c>
      <c r="B899" s="20"/>
      <c r="C899" s="20"/>
      <c r="D899" s="20"/>
      <c r="E899" s="20"/>
      <c r="F899" s="20"/>
      <c r="G899" s="20"/>
      <c r="H899" s="21">
        <v>654.4600</v>
      </c>
      <c r="I899" s="21">
        <v>0</v>
      </c>
      <c r="J899" s="21">
        <v>0</v>
      </c>
      <c r="K899" s="21">
        <v>0</v>
      </c>
      <c r="L899" s="20"/>
      <c r="M899" s="20"/>
    </row>
    <row r="900" ht="10.95" customHeight="true" customFormat="true" s="9">
      <c r="A900" s="10" t="s">
        <v>26</v>
      </c>
      <c r="B900" s="10"/>
      <c r="C900" s="10"/>
      <c r="D900" s="10"/>
      <c r="E900" s="10"/>
      <c r="F900" s="10"/>
      <c r="G900" s="10"/>
      <c r="H900" s="11">
        <v>654.4600</v>
      </c>
      <c r="I900" s="11">
        <v>0</v>
      </c>
      <c r="J900" s="11">
        <f ca="1">J897</f>
        <v>0</v>
      </c>
      <c r="K900" s="11">
        <v>0</v>
      </c>
      <c r="L900" s="10"/>
      <c r="M900" s="10"/>
    </row>
    <row r="901" ht="13.35" customHeight="true"/>
    <row r="902" ht="12.1" customHeight="true" customFormat="true" s="5">
      <c r="A902" s="8" t="s">
        <v>575</v>
      </c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</row>
    <row r="903" ht="10.95" customHeight="true" customFormat="true" s="9">
      <c r="A903" s="10" t="s">
        <v>17</v>
      </c>
      <c r="B903" s="10"/>
      <c r="C903" s="10"/>
      <c r="D903" s="10"/>
      <c r="E903" s="10"/>
      <c r="F903" s="10"/>
      <c r="G903" s="10"/>
      <c r="H903" s="11">
        <v>0</v>
      </c>
      <c r="I903" s="11">
        <v>0</v>
      </c>
      <c r="J903" s="11">
        <f ca="1">(H903 - I903)</f>
        <v>0</v>
      </c>
      <c r="K903" s="11">
        <v>0</v>
      </c>
      <c r="L903" s="10"/>
      <c r="M903" s="10"/>
    </row>
    <row r="904" ht="10.95" customHeight="true" customFormat="true" s="9">
      <c r="A904" s="12">
        <v>45443</v>
      </c>
      <c r="B904" s="13" t="s">
        <v>576</v>
      </c>
      <c r="C904" s="13" t="s">
        <v>553</v>
      </c>
      <c r="D904" s="13" t="s">
        <v>577</v>
      </c>
      <c r="E904" s="13" t="s">
        <v>339</v>
      </c>
      <c r="F904" s="13" t="s">
        <v>578</v>
      </c>
      <c r="G904" s="13" t="s">
        <v>112</v>
      </c>
      <c r="H904" s="14">
        <v>34375.1000</v>
      </c>
      <c r="I904" s="14">
        <v>0</v>
      </c>
      <c r="J904" s="14">
        <f ca="1">((J903 + H904) - I904)</f>
        <v>0</v>
      </c>
      <c r="K904" s="14">
        <v>0</v>
      </c>
      <c r="L904" s="15">
        <v>0</v>
      </c>
      <c r="M904" s="13" t="s">
        <v>157</v>
      </c>
    </row>
    <row r="905" ht="21.3" customHeight="true" customFormat="true" s="9">
      <c r="A905" s="16">
        <v>45443</v>
      </c>
      <c r="B905" s="17" t="s">
        <v>576</v>
      </c>
      <c r="C905" s="17" t="s">
        <v>553</v>
      </c>
      <c r="D905" s="17" t="s">
        <v>577</v>
      </c>
      <c r="E905" s="17" t="s">
        <v>339</v>
      </c>
      <c r="F905" s="23" t="s">
        <v>579</v>
      </c>
      <c r="G905" s="17" t="s">
        <v>112</v>
      </c>
      <c r="H905" s="18">
        <v>18686.0300</v>
      </c>
      <c r="I905" s="18">
        <v>0</v>
      </c>
      <c r="J905" s="18">
        <f ca="1">((J904 + H905) - I905)</f>
        <v>0</v>
      </c>
      <c r="K905" s="18">
        <v>0</v>
      </c>
      <c r="L905" s="19">
        <v>0</v>
      </c>
      <c r="M905" s="17" t="s">
        <v>157</v>
      </c>
    </row>
    <row r="906" ht="10.95" customHeight="true" customFormat="true" s="9">
      <c r="A906" s="16">
        <v>45443</v>
      </c>
      <c r="B906" s="17" t="s">
        <v>576</v>
      </c>
      <c r="C906" s="17" t="s">
        <v>553</v>
      </c>
      <c r="D906" s="17" t="s">
        <v>577</v>
      </c>
      <c r="E906" s="17" t="s">
        <v>339</v>
      </c>
      <c r="F906" s="17" t="s">
        <v>580</v>
      </c>
      <c r="G906" s="17" t="s">
        <v>121</v>
      </c>
      <c r="H906" s="18">
        <v>68853.4500</v>
      </c>
      <c r="I906" s="18">
        <v>0</v>
      </c>
      <c r="J906" s="18">
        <f ca="1">((J905 + H906) - I906)</f>
        <v>0</v>
      </c>
      <c r="K906" s="18">
        <v>0</v>
      </c>
      <c r="L906" s="19">
        <v>0</v>
      </c>
      <c r="M906" s="17" t="s">
        <v>157</v>
      </c>
    </row>
    <row r="907" ht="10.95" customHeight="true" customFormat="true" s="9">
      <c r="A907" s="16">
        <v>45443</v>
      </c>
      <c r="B907" s="17" t="s">
        <v>576</v>
      </c>
      <c r="C907" s="17" t="s">
        <v>553</v>
      </c>
      <c r="D907" s="17" t="s">
        <v>577</v>
      </c>
      <c r="E907" s="17" t="s">
        <v>339</v>
      </c>
      <c r="F907" s="17" t="s">
        <v>581</v>
      </c>
      <c r="G907" s="17" t="s">
        <v>122</v>
      </c>
      <c r="H907" s="18">
        <v>103228.5500</v>
      </c>
      <c r="I907" s="18">
        <v>0</v>
      </c>
      <c r="J907" s="18">
        <f ca="1">((J906 + H907) - I907)</f>
        <v>0</v>
      </c>
      <c r="K907" s="18">
        <v>0</v>
      </c>
      <c r="L907" s="19">
        <v>0</v>
      </c>
      <c r="M907" s="17" t="s">
        <v>157</v>
      </c>
    </row>
    <row r="908" ht="10.95" customHeight="true" customFormat="true" s="9">
      <c r="A908" s="16">
        <v>45443</v>
      </c>
      <c r="B908" s="17" t="s">
        <v>576</v>
      </c>
      <c r="C908" s="17" t="s">
        <v>553</v>
      </c>
      <c r="D908" s="17" t="s">
        <v>577</v>
      </c>
      <c r="E908" s="17" t="s">
        <v>339</v>
      </c>
      <c r="F908" s="17" t="s">
        <v>582</v>
      </c>
      <c r="G908" s="17" t="s">
        <v>100</v>
      </c>
      <c r="H908" s="18">
        <v>56170.3300</v>
      </c>
      <c r="I908" s="18">
        <v>0</v>
      </c>
      <c r="J908" s="18">
        <f ca="1">((J907 + H908) - I908)</f>
        <v>0</v>
      </c>
      <c r="K908" s="18">
        <v>0</v>
      </c>
      <c r="L908" s="19">
        <v>0</v>
      </c>
      <c r="M908" s="17" t="s">
        <v>157</v>
      </c>
    </row>
    <row r="909" ht="21.3" customHeight="true" customFormat="true" s="9">
      <c r="A909" s="16">
        <v>45443</v>
      </c>
      <c r="B909" s="17" t="s">
        <v>576</v>
      </c>
      <c r="C909" s="17" t="s">
        <v>553</v>
      </c>
      <c r="D909" s="17" t="s">
        <v>577</v>
      </c>
      <c r="E909" s="17" t="s">
        <v>339</v>
      </c>
      <c r="F909" s="23" t="s">
        <v>583</v>
      </c>
      <c r="G909" s="17" t="s">
        <v>105</v>
      </c>
      <c r="H909" s="18">
        <v>68853.4500</v>
      </c>
      <c r="I909" s="18">
        <v>0</v>
      </c>
      <c r="J909" s="18">
        <f ca="1">((J908 + H909) - I909)</f>
        <v>0</v>
      </c>
      <c r="K909" s="18">
        <v>0</v>
      </c>
      <c r="L909" s="19">
        <v>0</v>
      </c>
      <c r="M909" s="17" t="s">
        <v>157</v>
      </c>
    </row>
    <row r="910" ht="10.95" customHeight="true" customFormat="true" s="9">
      <c r="A910" s="16">
        <v>45473</v>
      </c>
      <c r="B910" s="17" t="s">
        <v>576</v>
      </c>
      <c r="C910" s="17" t="s">
        <v>553</v>
      </c>
      <c r="D910" s="17" t="s">
        <v>577</v>
      </c>
      <c r="E910" s="17" t="s">
        <v>339</v>
      </c>
      <c r="F910" s="17" t="s">
        <v>584</v>
      </c>
      <c r="G910" s="17" t="s">
        <v>133</v>
      </c>
      <c r="H910" s="18">
        <v>17300.8200</v>
      </c>
      <c r="I910" s="18">
        <v>0</v>
      </c>
      <c r="J910" s="18">
        <f ca="1">((J909 + H910) - I910)</f>
        <v>0</v>
      </c>
      <c r="K910" s="18">
        <v>0</v>
      </c>
      <c r="L910" s="19">
        <v>0</v>
      </c>
      <c r="M910" s="17" t="s">
        <v>157</v>
      </c>
    </row>
    <row r="911" ht="10.95" customHeight="true" customFormat="true" s="9">
      <c r="A911" s="16">
        <v>45473</v>
      </c>
      <c r="B911" s="17" t="s">
        <v>576</v>
      </c>
      <c r="C911" s="17" t="s">
        <v>553</v>
      </c>
      <c r="D911" s="17" t="s">
        <v>577</v>
      </c>
      <c r="E911" s="17" t="s">
        <v>339</v>
      </c>
      <c r="F911" s="17" t="s">
        <v>584</v>
      </c>
      <c r="G911" s="17" t="s">
        <v>585</v>
      </c>
      <c r="H911" s="18">
        <v>34498.0600</v>
      </c>
      <c r="I911" s="18">
        <v>0</v>
      </c>
      <c r="J911" s="18">
        <f ca="1">((J910 + H911) - I911)</f>
        <v>0</v>
      </c>
      <c r="K911" s="18">
        <v>0</v>
      </c>
      <c r="L911" s="19">
        <v>0</v>
      </c>
      <c r="M911" s="17" t="s">
        <v>157</v>
      </c>
    </row>
    <row r="912" ht="10.95" customHeight="true" customFormat="true" s="9">
      <c r="A912" s="16">
        <v>45565</v>
      </c>
      <c r="B912" s="17" t="s">
        <v>576</v>
      </c>
      <c r="C912" s="17" t="s">
        <v>553</v>
      </c>
      <c r="D912" s="17" t="s">
        <v>577</v>
      </c>
      <c r="E912" s="17" t="s">
        <v>154</v>
      </c>
      <c r="F912" s="17" t="s">
        <v>233</v>
      </c>
      <c r="G912" s="17" t="s">
        <v>234</v>
      </c>
      <c r="H912" s="18">
        <v>0</v>
      </c>
      <c r="I912" s="18">
        <v>51.7200</v>
      </c>
      <c r="J912" s="18">
        <f ca="1">((J911 + H912) - I912)</f>
        <v>0</v>
      </c>
      <c r="K912" s="18">
        <v>0</v>
      </c>
      <c r="L912" s="19">
        <v>0</v>
      </c>
      <c r="M912" s="17" t="s">
        <v>157</v>
      </c>
    </row>
    <row r="913" ht="10.95" customHeight="true" customFormat="true" s="9">
      <c r="A913" s="16">
        <v>45626</v>
      </c>
      <c r="B913" s="17" t="s">
        <v>576</v>
      </c>
      <c r="C913" s="17" t="s">
        <v>553</v>
      </c>
      <c r="D913" s="17" t="s">
        <v>577</v>
      </c>
      <c r="E913" s="17" t="s">
        <v>339</v>
      </c>
      <c r="F913" s="17" t="s">
        <v>586</v>
      </c>
      <c r="G913" s="17" t="s">
        <v>587</v>
      </c>
      <c r="H913" s="18">
        <v>52848.3000</v>
      </c>
      <c r="I913" s="18">
        <v>0</v>
      </c>
      <c r="J913" s="18">
        <f ca="1">((J912 + H913) - I913)</f>
        <v>0</v>
      </c>
      <c r="K913" s="18">
        <v>0</v>
      </c>
      <c r="L913" s="19">
        <v>0</v>
      </c>
      <c r="M913" s="17" t="s">
        <v>157</v>
      </c>
    </row>
    <row r="914" ht="10.95" customHeight="true" customFormat="true" s="9">
      <c r="A914" s="16">
        <v>45626</v>
      </c>
      <c r="B914" s="17" t="s">
        <v>576</v>
      </c>
      <c r="C914" s="17" t="s">
        <v>553</v>
      </c>
      <c r="D914" s="17" t="s">
        <v>577</v>
      </c>
      <c r="E914" s="17" t="s">
        <v>339</v>
      </c>
      <c r="F914" s="17" t="s">
        <v>581</v>
      </c>
      <c r="G914" s="17" t="s">
        <v>587</v>
      </c>
      <c r="H914" s="18">
        <v>52848.2900</v>
      </c>
      <c r="I914" s="18">
        <v>0</v>
      </c>
      <c r="J914" s="18">
        <f ca="1">((J913 + H914) - I914)</f>
        <v>0</v>
      </c>
      <c r="K914" s="18">
        <v>0</v>
      </c>
      <c r="L914" s="19">
        <v>0</v>
      </c>
      <c r="M914" s="17" t="s">
        <v>157</v>
      </c>
    </row>
    <row r="915" ht="31.65" customHeight="true" customFormat="true" s="9">
      <c r="A915" s="16">
        <v>45626</v>
      </c>
      <c r="B915" s="17" t="s">
        <v>576</v>
      </c>
      <c r="C915" s="17" t="s">
        <v>553</v>
      </c>
      <c r="D915" s="17" t="s">
        <v>577</v>
      </c>
      <c r="E915" s="17" t="s">
        <v>339</v>
      </c>
      <c r="F915" s="23" t="s">
        <v>588</v>
      </c>
      <c r="G915" s="17" t="s">
        <v>587</v>
      </c>
      <c r="H915" s="18">
        <v>57455.8200</v>
      </c>
      <c r="I915" s="18">
        <v>0</v>
      </c>
      <c r="J915" s="18">
        <f ca="1">((J914 + H915) - I915)</f>
        <v>0</v>
      </c>
      <c r="K915" s="18">
        <v>0</v>
      </c>
      <c r="L915" s="19">
        <v>0</v>
      </c>
      <c r="M915" s="17" t="s">
        <v>157</v>
      </c>
    </row>
    <row r="916" ht="10.95" customHeight="true" customFormat="true" s="9">
      <c r="A916" s="16">
        <v>45688</v>
      </c>
      <c r="B916" s="17" t="s">
        <v>576</v>
      </c>
      <c r="C916" s="17" t="s">
        <v>553</v>
      </c>
      <c r="D916" s="17" t="s">
        <v>577</v>
      </c>
      <c r="E916" s="17" t="s">
        <v>339</v>
      </c>
      <c r="F916" s="17" t="s">
        <v>589</v>
      </c>
      <c r="G916" s="17" t="s">
        <v>590</v>
      </c>
      <c r="H916" s="18">
        <v>22154.2600</v>
      </c>
      <c r="I916" s="18">
        <v>0</v>
      </c>
      <c r="J916" s="18">
        <f ca="1">((J915 + H916) - I916)</f>
        <v>0</v>
      </c>
      <c r="K916" s="18">
        <v>0</v>
      </c>
      <c r="L916" s="19">
        <v>0</v>
      </c>
      <c r="M916" s="17" t="s">
        <v>157</v>
      </c>
    </row>
    <row r="917" ht="10.95" customHeight="true" customFormat="true" s="9">
      <c r="A917" s="16">
        <v>45688</v>
      </c>
      <c r="B917" s="17" t="s">
        <v>576</v>
      </c>
      <c r="C917" s="17" t="s">
        <v>553</v>
      </c>
      <c r="D917" s="17" t="s">
        <v>577</v>
      </c>
      <c r="E917" s="17" t="s">
        <v>339</v>
      </c>
      <c r="F917" s="17" t="s">
        <v>581</v>
      </c>
      <c r="G917" s="17" t="s">
        <v>591</v>
      </c>
      <c r="H917" s="18">
        <v>55385.6500</v>
      </c>
      <c r="I917" s="18">
        <v>0</v>
      </c>
      <c r="J917" s="18">
        <f ca="1">((J916 + H917) - I917)</f>
        <v>0</v>
      </c>
      <c r="K917" s="18">
        <v>0</v>
      </c>
      <c r="L917" s="19">
        <v>0</v>
      </c>
      <c r="M917" s="17" t="s">
        <v>157</v>
      </c>
    </row>
    <row r="918" ht="21.3" customHeight="true" customFormat="true" s="9">
      <c r="A918" s="16">
        <v>45688</v>
      </c>
      <c r="B918" s="17" t="s">
        <v>576</v>
      </c>
      <c r="C918" s="17" t="s">
        <v>553</v>
      </c>
      <c r="D918" s="17" t="s">
        <v>577</v>
      </c>
      <c r="E918" s="17" t="s">
        <v>339</v>
      </c>
      <c r="F918" s="23" t="s">
        <v>579</v>
      </c>
      <c r="G918" s="17" t="s">
        <v>591</v>
      </c>
      <c r="H918" s="18">
        <v>60214.3900</v>
      </c>
      <c r="I918" s="18">
        <v>0</v>
      </c>
      <c r="J918" s="18">
        <f ca="1">((J917 + H918) - I918)</f>
        <v>0</v>
      </c>
      <c r="K918" s="18">
        <v>0</v>
      </c>
      <c r="L918" s="19">
        <v>0</v>
      </c>
      <c r="M918" s="17" t="s">
        <v>157</v>
      </c>
    </row>
    <row r="919" ht="10.95" customHeight="true" customFormat="true" s="9">
      <c r="A919" s="16">
        <v>45688</v>
      </c>
      <c r="B919" s="17" t="s">
        <v>576</v>
      </c>
      <c r="C919" s="17" t="s">
        <v>553</v>
      </c>
      <c r="D919" s="17" t="s">
        <v>577</v>
      </c>
      <c r="E919" s="17" t="s">
        <v>339</v>
      </c>
      <c r="F919" s="17" t="s">
        <v>580</v>
      </c>
      <c r="G919" s="17" t="s">
        <v>591</v>
      </c>
      <c r="H919" s="18">
        <v>55385.6600</v>
      </c>
      <c r="I919" s="18">
        <v>0</v>
      </c>
      <c r="J919" s="18">
        <f ca="1">((J918 + H919) - I919)</f>
        <v>0</v>
      </c>
      <c r="K919" s="18">
        <v>0</v>
      </c>
      <c r="L919" s="19">
        <v>0</v>
      </c>
      <c r="M919" s="17" t="s">
        <v>157</v>
      </c>
    </row>
    <row r="920" ht="10.95" customHeight="true" customFormat="true" s="9">
      <c r="A920" s="16">
        <v>45688</v>
      </c>
      <c r="B920" s="17" t="s">
        <v>576</v>
      </c>
      <c r="C920" s="17" t="s">
        <v>553</v>
      </c>
      <c r="D920" s="17" t="s">
        <v>577</v>
      </c>
      <c r="E920" s="17" t="s">
        <v>339</v>
      </c>
      <c r="F920" s="17" t="s">
        <v>584</v>
      </c>
      <c r="G920" s="17" t="s">
        <v>591</v>
      </c>
      <c r="H920" s="18">
        <v>55385.6600</v>
      </c>
      <c r="I920" s="18">
        <v>0</v>
      </c>
      <c r="J920" s="18">
        <f ca="1">((J919 + H920) - I920)</f>
        <v>0</v>
      </c>
      <c r="K920" s="18">
        <v>0</v>
      </c>
      <c r="L920" s="19">
        <v>0</v>
      </c>
      <c r="M920" s="17" t="s">
        <v>157</v>
      </c>
    </row>
    <row r="921" ht="10.95" customHeight="true" customFormat="true" s="9">
      <c r="A921" s="16">
        <v>45688</v>
      </c>
      <c r="B921" s="17" t="s">
        <v>576</v>
      </c>
      <c r="C921" s="17" t="s">
        <v>553</v>
      </c>
      <c r="D921" s="17" t="s">
        <v>577</v>
      </c>
      <c r="E921" s="17" t="s">
        <v>339</v>
      </c>
      <c r="F921" s="17" t="s">
        <v>578</v>
      </c>
      <c r="G921" s="17" t="s">
        <v>561</v>
      </c>
      <c r="H921" s="18">
        <v>55385.6500</v>
      </c>
      <c r="I921" s="18">
        <v>0</v>
      </c>
      <c r="J921" s="18">
        <f ca="1">((J920 + H921) - I921)</f>
        <v>0</v>
      </c>
      <c r="K921" s="18">
        <v>0</v>
      </c>
      <c r="L921" s="19">
        <v>0</v>
      </c>
      <c r="M921" s="17" t="s">
        <v>157</v>
      </c>
    </row>
    <row r="922" ht="10.95" customHeight="true" customFormat="true" s="9">
      <c r="A922" s="20" t="s">
        <v>592</v>
      </c>
      <c r="B922" s="20"/>
      <c r="C922" s="20"/>
      <c r="D922" s="20"/>
      <c r="E922" s="20"/>
      <c r="F922" s="20"/>
      <c r="G922" s="20"/>
      <c r="H922" s="21">
        <f ca="1">SUM(H904:H921)</f>
        <v>0</v>
      </c>
      <c r="I922" s="21">
        <f ca="1">SUM(I904:I921)</f>
        <v>0</v>
      </c>
      <c r="J922" s="21">
        <f ca="1">J921</f>
        <v>0</v>
      </c>
      <c r="K922" s="21">
        <f ca="1">SUM(K904:K921)</f>
        <v>0</v>
      </c>
      <c r="L922" s="20"/>
      <c r="M922" s="20"/>
    </row>
    <row r="923" ht="10.95" customHeight="true" customFormat="true" s="9">
      <c r="A923" s="20" t="s">
        <v>25</v>
      </c>
      <c r="B923" s="20"/>
      <c r="C923" s="20"/>
      <c r="D923" s="20"/>
      <c r="E923" s="20"/>
      <c r="F923" s="20"/>
      <c r="G923" s="20"/>
      <c r="H923" s="21">
        <v>868977.7500</v>
      </c>
      <c r="I923" s="21">
        <v>0</v>
      </c>
      <c r="J923" s="21">
        <v>0</v>
      </c>
      <c r="K923" s="21">
        <v>0</v>
      </c>
      <c r="L923" s="20"/>
      <c r="M923" s="20"/>
    </row>
    <row r="924" ht="10.95" customHeight="true" customFormat="true" s="9">
      <c r="A924" s="10" t="s">
        <v>26</v>
      </c>
      <c r="B924" s="10"/>
      <c r="C924" s="10"/>
      <c r="D924" s="10"/>
      <c r="E924" s="10"/>
      <c r="F924" s="10"/>
      <c r="G924" s="10"/>
      <c r="H924" s="11">
        <v>868977.7500</v>
      </c>
      <c r="I924" s="11">
        <v>0</v>
      </c>
      <c r="J924" s="11">
        <f ca="1">J921</f>
        <v>0</v>
      </c>
      <c r="K924" s="11">
        <v>0</v>
      </c>
      <c r="L924" s="10"/>
      <c r="M924" s="10"/>
    </row>
    <row r="925" ht="13.35" customHeight="true"/>
    <row r="926" ht="12.1" customHeight="true" customFormat="true" s="5">
      <c r="A926" s="8" t="s">
        <v>593</v>
      </c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</row>
    <row r="927" ht="10.95" customHeight="true" customFormat="true" s="9">
      <c r="A927" s="10" t="s">
        <v>17</v>
      </c>
      <c r="B927" s="10"/>
      <c r="C927" s="10"/>
      <c r="D927" s="10"/>
      <c r="E927" s="10"/>
      <c r="F927" s="10"/>
      <c r="G927" s="10"/>
      <c r="H927" s="11">
        <v>0</v>
      </c>
      <c r="I927" s="11">
        <v>0</v>
      </c>
      <c r="J927" s="11">
        <f ca="1">(H927 - I927)</f>
        <v>0</v>
      </c>
      <c r="K927" s="11">
        <v>0</v>
      </c>
      <c r="L927" s="10"/>
      <c r="M927" s="10"/>
    </row>
    <row r="928" ht="10.95" customHeight="true" customFormat="true" s="9">
      <c r="A928" s="12">
        <v>45443</v>
      </c>
      <c r="B928" s="13" t="s">
        <v>594</v>
      </c>
      <c r="C928" s="13" t="s">
        <v>553</v>
      </c>
      <c r="D928" s="13" t="s">
        <v>595</v>
      </c>
      <c r="E928" s="13" t="s">
        <v>339</v>
      </c>
      <c r="F928" s="13" t="s">
        <v>596</v>
      </c>
      <c r="G928" s="13" t="s">
        <v>112</v>
      </c>
      <c r="H928" s="14">
        <v>30958.5800</v>
      </c>
      <c r="I928" s="14">
        <v>0</v>
      </c>
      <c r="J928" s="14">
        <f ca="1">((J927 + H928) - I928)</f>
        <v>0</v>
      </c>
      <c r="K928" s="14">
        <v>0</v>
      </c>
      <c r="L928" s="15">
        <v>0</v>
      </c>
      <c r="M928" s="13" t="s">
        <v>157</v>
      </c>
    </row>
    <row r="929" ht="21.3" customHeight="true" customFormat="true" s="9">
      <c r="A929" s="16">
        <v>45443</v>
      </c>
      <c r="B929" s="17" t="s">
        <v>594</v>
      </c>
      <c r="C929" s="17" t="s">
        <v>553</v>
      </c>
      <c r="D929" s="17" t="s">
        <v>595</v>
      </c>
      <c r="E929" s="17" t="s">
        <v>339</v>
      </c>
      <c r="F929" s="23" t="s">
        <v>597</v>
      </c>
      <c r="G929" s="17" t="s">
        <v>100</v>
      </c>
      <c r="H929" s="18">
        <v>62010.1200</v>
      </c>
      <c r="I929" s="18">
        <v>0</v>
      </c>
      <c r="J929" s="18">
        <f ca="1">((J928 + H929) - I929)</f>
        <v>0</v>
      </c>
      <c r="K929" s="18">
        <v>0</v>
      </c>
      <c r="L929" s="19">
        <v>0</v>
      </c>
      <c r="M929" s="17" t="s">
        <v>157</v>
      </c>
    </row>
    <row r="930" ht="21.3" customHeight="true" customFormat="true" s="9">
      <c r="A930" s="16">
        <v>45443</v>
      </c>
      <c r="B930" s="17" t="s">
        <v>594</v>
      </c>
      <c r="C930" s="17" t="s">
        <v>553</v>
      </c>
      <c r="D930" s="17" t="s">
        <v>595</v>
      </c>
      <c r="E930" s="17" t="s">
        <v>339</v>
      </c>
      <c r="F930" s="23" t="s">
        <v>598</v>
      </c>
      <c r="G930" s="17" t="s">
        <v>108</v>
      </c>
      <c r="H930" s="18">
        <v>97057.7000</v>
      </c>
      <c r="I930" s="18">
        <v>0</v>
      </c>
      <c r="J930" s="18">
        <f ca="1">((J929 + H930) - I930)</f>
        <v>0</v>
      </c>
      <c r="K930" s="18">
        <v>0</v>
      </c>
      <c r="L930" s="19">
        <v>0</v>
      </c>
      <c r="M930" s="17" t="s">
        <v>157</v>
      </c>
    </row>
    <row r="931" ht="10.95" customHeight="true" customFormat="true" s="9">
      <c r="A931" s="16">
        <v>45443</v>
      </c>
      <c r="B931" s="17" t="s">
        <v>594</v>
      </c>
      <c r="C931" s="17" t="s">
        <v>553</v>
      </c>
      <c r="D931" s="17" t="s">
        <v>595</v>
      </c>
      <c r="E931" s="17" t="s">
        <v>339</v>
      </c>
      <c r="F931" s="17" t="s">
        <v>599</v>
      </c>
      <c r="G931" s="17" t="s">
        <v>108</v>
      </c>
      <c r="H931" s="18">
        <v>40746.9300</v>
      </c>
      <c r="I931" s="18">
        <v>0</v>
      </c>
      <c r="J931" s="18">
        <f ca="1">((J930 + H931) - I931)</f>
        <v>0</v>
      </c>
      <c r="K931" s="18">
        <v>0</v>
      </c>
      <c r="L931" s="19">
        <v>0</v>
      </c>
      <c r="M931" s="17" t="s">
        <v>157</v>
      </c>
    </row>
    <row r="932" ht="10.95" customHeight="true" customFormat="true" s="9">
      <c r="A932" s="16">
        <v>45473</v>
      </c>
      <c r="B932" s="17" t="s">
        <v>594</v>
      </c>
      <c r="C932" s="17" t="s">
        <v>553</v>
      </c>
      <c r="D932" s="17" t="s">
        <v>595</v>
      </c>
      <c r="E932" s="17" t="s">
        <v>339</v>
      </c>
      <c r="F932" s="17" t="s">
        <v>599</v>
      </c>
      <c r="G932" s="17" t="s">
        <v>585</v>
      </c>
      <c r="H932" s="18">
        <v>40892.6700</v>
      </c>
      <c r="I932" s="18">
        <v>0</v>
      </c>
      <c r="J932" s="18">
        <f ca="1">((J931 + H932) - I932)</f>
        <v>0</v>
      </c>
      <c r="K932" s="18">
        <v>0</v>
      </c>
      <c r="L932" s="19">
        <v>0</v>
      </c>
      <c r="M932" s="17" t="s">
        <v>157</v>
      </c>
    </row>
    <row r="933" ht="10.95" customHeight="true" customFormat="true" s="9">
      <c r="A933" s="16">
        <v>45504</v>
      </c>
      <c r="B933" s="17" t="s">
        <v>594</v>
      </c>
      <c r="C933" s="17" t="s">
        <v>553</v>
      </c>
      <c r="D933" s="17" t="s">
        <v>595</v>
      </c>
      <c r="E933" s="17" t="s">
        <v>339</v>
      </c>
      <c r="F933" s="17" t="s">
        <v>600</v>
      </c>
      <c r="G933" s="17" t="s">
        <v>136</v>
      </c>
      <c r="H933" s="18">
        <v>68012.8200</v>
      </c>
      <c r="I933" s="18">
        <v>0</v>
      </c>
      <c r="J933" s="18">
        <f ca="1">((J932 + H933) - I933)</f>
        <v>0</v>
      </c>
      <c r="K933" s="18">
        <v>0</v>
      </c>
      <c r="L933" s="19">
        <v>0</v>
      </c>
      <c r="M933" s="17" t="s">
        <v>157</v>
      </c>
    </row>
    <row r="934" ht="10.95" customHeight="true" customFormat="true" s="9">
      <c r="A934" s="16">
        <v>45565</v>
      </c>
      <c r="B934" s="17" t="s">
        <v>594</v>
      </c>
      <c r="C934" s="17" t="s">
        <v>553</v>
      </c>
      <c r="D934" s="17" t="s">
        <v>595</v>
      </c>
      <c r="E934" s="17" t="s">
        <v>339</v>
      </c>
      <c r="F934" s="17" t="s">
        <v>601</v>
      </c>
      <c r="G934" s="17" t="s">
        <v>602</v>
      </c>
      <c r="H934" s="18">
        <v>25405.9600</v>
      </c>
      <c r="I934" s="18">
        <v>0</v>
      </c>
      <c r="J934" s="18">
        <f ca="1">((J933 + H934) - I934)</f>
        <v>0</v>
      </c>
      <c r="K934" s="18">
        <v>0</v>
      </c>
      <c r="L934" s="19">
        <v>0</v>
      </c>
      <c r="M934" s="17" t="s">
        <v>157</v>
      </c>
    </row>
    <row r="935" ht="10.95" customHeight="true" customFormat="true" s="9">
      <c r="A935" s="20" t="s">
        <v>603</v>
      </c>
      <c r="B935" s="20"/>
      <c r="C935" s="20"/>
      <c r="D935" s="20"/>
      <c r="E935" s="20"/>
      <c r="F935" s="20"/>
      <c r="G935" s="20"/>
      <c r="H935" s="21">
        <f ca="1">SUM(H928:H934)</f>
        <v>0</v>
      </c>
      <c r="I935" s="21">
        <f ca="1">SUM(I928:I934)</f>
        <v>0</v>
      </c>
      <c r="J935" s="21">
        <f ca="1">J934</f>
        <v>0</v>
      </c>
      <c r="K935" s="21">
        <f ca="1">SUM(K928:K934)</f>
        <v>0</v>
      </c>
      <c r="L935" s="20"/>
      <c r="M935" s="20"/>
    </row>
    <row r="936" ht="10.95" customHeight="true" customFormat="true" s="9">
      <c r="A936" s="20" t="s">
        <v>25</v>
      </c>
      <c r="B936" s="20"/>
      <c r="C936" s="20"/>
      <c r="D936" s="20"/>
      <c r="E936" s="20"/>
      <c r="F936" s="20"/>
      <c r="G936" s="20"/>
      <c r="H936" s="21">
        <v>365084.7800</v>
      </c>
      <c r="I936" s="21">
        <v>0</v>
      </c>
      <c r="J936" s="21">
        <v>0</v>
      </c>
      <c r="K936" s="21">
        <v>0</v>
      </c>
      <c r="L936" s="20"/>
      <c r="M936" s="20"/>
    </row>
    <row r="937" ht="10.95" customHeight="true" customFormat="true" s="9">
      <c r="A937" s="10" t="s">
        <v>26</v>
      </c>
      <c r="B937" s="10"/>
      <c r="C937" s="10"/>
      <c r="D937" s="10"/>
      <c r="E937" s="10"/>
      <c r="F937" s="10"/>
      <c r="G937" s="10"/>
      <c r="H937" s="11">
        <v>365084.7800</v>
      </c>
      <c r="I937" s="11">
        <v>0</v>
      </c>
      <c r="J937" s="11">
        <f ca="1">J934</f>
        <v>0</v>
      </c>
      <c r="K937" s="11">
        <v>0</v>
      </c>
      <c r="L937" s="10"/>
      <c r="M937" s="10"/>
    </row>
    <row r="938" ht="13.35" customHeight="true"/>
    <row r="939" ht="12.1" customHeight="true" customFormat="true" s="5">
      <c r="A939" s="8" t="s">
        <v>604</v>
      </c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</row>
    <row r="940" ht="10.95" customHeight="true" customFormat="true" s="9">
      <c r="A940" s="10" t="s">
        <v>17</v>
      </c>
      <c r="B940" s="10"/>
      <c r="C940" s="10"/>
      <c r="D940" s="10"/>
      <c r="E940" s="10"/>
      <c r="F940" s="10"/>
      <c r="G940" s="10"/>
      <c r="H940" s="11">
        <v>0</v>
      </c>
      <c r="I940" s="11">
        <v>0</v>
      </c>
      <c r="J940" s="11">
        <f ca="1">(H940 - I940)</f>
        <v>0</v>
      </c>
      <c r="K940" s="11">
        <v>0</v>
      </c>
      <c r="L940" s="10"/>
      <c r="M940" s="10"/>
    </row>
    <row r="941" ht="21.3" customHeight="true" customFormat="true" s="9">
      <c r="A941" s="12">
        <v>45443</v>
      </c>
      <c r="B941" s="13" t="s">
        <v>605</v>
      </c>
      <c r="C941" s="13" t="s">
        <v>553</v>
      </c>
      <c r="D941" s="13" t="s">
        <v>606</v>
      </c>
      <c r="E941" s="13" t="s">
        <v>339</v>
      </c>
      <c r="F941" s="22" t="s">
        <v>607</v>
      </c>
      <c r="G941" s="13" t="s">
        <v>123</v>
      </c>
      <c r="H941" s="14">
        <v>119203.3300</v>
      </c>
      <c r="I941" s="14">
        <v>0</v>
      </c>
      <c r="J941" s="14">
        <f ca="1">((J940 + H941) - I941)</f>
        <v>0</v>
      </c>
      <c r="K941" s="14">
        <v>0</v>
      </c>
      <c r="L941" s="15">
        <v>0</v>
      </c>
      <c r="M941" s="13" t="s">
        <v>157</v>
      </c>
    </row>
    <row r="942" ht="10.95" customHeight="true" customFormat="true" s="9">
      <c r="A942" s="16">
        <v>45473</v>
      </c>
      <c r="B942" s="17" t="s">
        <v>605</v>
      </c>
      <c r="C942" s="17" t="s">
        <v>553</v>
      </c>
      <c r="D942" s="17" t="s">
        <v>606</v>
      </c>
      <c r="E942" s="17" t="s">
        <v>339</v>
      </c>
      <c r="F942" s="17" t="s">
        <v>608</v>
      </c>
      <c r="G942" s="17" t="s">
        <v>585</v>
      </c>
      <c r="H942" s="18">
        <v>159465.5100</v>
      </c>
      <c r="I942" s="18">
        <v>0</v>
      </c>
      <c r="J942" s="18">
        <f ca="1">((J941 + H942) - I942)</f>
        <v>0</v>
      </c>
      <c r="K942" s="18">
        <v>0</v>
      </c>
      <c r="L942" s="19">
        <v>0</v>
      </c>
      <c r="M942" s="17" t="s">
        <v>157</v>
      </c>
    </row>
    <row r="943" ht="10.95" customHeight="true" customFormat="true" s="9">
      <c r="A943" s="16">
        <v>45473</v>
      </c>
      <c r="B943" s="17" t="s">
        <v>605</v>
      </c>
      <c r="C943" s="17" t="s">
        <v>553</v>
      </c>
      <c r="D943" s="17" t="s">
        <v>606</v>
      </c>
      <c r="E943" s="17" t="s">
        <v>339</v>
      </c>
      <c r="F943" s="17" t="s">
        <v>609</v>
      </c>
      <c r="G943" s="17" t="s">
        <v>585</v>
      </c>
      <c r="H943" s="18">
        <v>123287.6700</v>
      </c>
      <c r="I943" s="18">
        <v>0</v>
      </c>
      <c r="J943" s="18">
        <f ca="1">((J942 + H943) - I943)</f>
        <v>0</v>
      </c>
      <c r="K943" s="18">
        <v>0</v>
      </c>
      <c r="L943" s="19">
        <v>0</v>
      </c>
      <c r="M943" s="17" t="s">
        <v>157</v>
      </c>
    </row>
    <row r="944" ht="10.95" customHeight="true" customFormat="true" s="9">
      <c r="A944" s="16">
        <v>45565</v>
      </c>
      <c r="B944" s="17" t="s">
        <v>605</v>
      </c>
      <c r="C944" s="17" t="s">
        <v>553</v>
      </c>
      <c r="D944" s="17" t="s">
        <v>606</v>
      </c>
      <c r="E944" s="17" t="s">
        <v>339</v>
      </c>
      <c r="F944" s="17" t="s">
        <v>610</v>
      </c>
      <c r="G944" s="17" t="s">
        <v>602</v>
      </c>
      <c r="H944" s="18">
        <v>114701.4800</v>
      </c>
      <c r="I944" s="18">
        <v>0</v>
      </c>
      <c r="J944" s="18">
        <f ca="1">((J943 + H944) - I944)</f>
        <v>0</v>
      </c>
      <c r="K944" s="18">
        <v>0</v>
      </c>
      <c r="L944" s="19">
        <v>0</v>
      </c>
      <c r="M944" s="17" t="s">
        <v>157</v>
      </c>
    </row>
    <row r="945" ht="10.95" customHeight="true" customFormat="true" s="9">
      <c r="A945" s="20" t="s">
        <v>611</v>
      </c>
      <c r="B945" s="20"/>
      <c r="C945" s="20"/>
      <c r="D945" s="20"/>
      <c r="E945" s="20"/>
      <c r="F945" s="20"/>
      <c r="G945" s="20"/>
      <c r="H945" s="21">
        <f ca="1">SUM(H941:H944)</f>
        <v>0</v>
      </c>
      <c r="I945" s="21">
        <f ca="1">SUM(I941:I944)</f>
        <v>0</v>
      </c>
      <c r="J945" s="21">
        <f ca="1">J944</f>
        <v>0</v>
      </c>
      <c r="K945" s="21">
        <f ca="1">SUM(K941:K944)</f>
        <v>0</v>
      </c>
      <c r="L945" s="20"/>
      <c r="M945" s="20"/>
    </row>
    <row r="946" ht="10.95" customHeight="true" customFormat="true" s="9">
      <c r="A946" s="20" t="s">
        <v>25</v>
      </c>
      <c r="B946" s="20"/>
      <c r="C946" s="20"/>
      <c r="D946" s="20"/>
      <c r="E946" s="20"/>
      <c r="F946" s="20"/>
      <c r="G946" s="20"/>
      <c r="H946" s="21">
        <v>516657.9900</v>
      </c>
      <c r="I946" s="21">
        <v>0</v>
      </c>
      <c r="J946" s="21">
        <v>0</v>
      </c>
      <c r="K946" s="21">
        <v>0</v>
      </c>
      <c r="L946" s="20"/>
      <c r="M946" s="20"/>
    </row>
    <row r="947" ht="10.95" customHeight="true" customFormat="true" s="9">
      <c r="A947" s="10" t="s">
        <v>26</v>
      </c>
      <c r="B947" s="10"/>
      <c r="C947" s="10"/>
      <c r="D947" s="10"/>
      <c r="E947" s="10"/>
      <c r="F947" s="10"/>
      <c r="G947" s="10"/>
      <c r="H947" s="11">
        <v>516657.9900</v>
      </c>
      <c r="I947" s="11">
        <v>0</v>
      </c>
      <c r="J947" s="11">
        <f ca="1">J944</f>
        <v>0</v>
      </c>
      <c r="K947" s="11">
        <v>0</v>
      </c>
      <c r="L947" s="10"/>
      <c r="M947" s="10"/>
    </row>
    <row r="948" ht="13.35" customHeight="true"/>
    <row r="949" ht="12.1" customHeight="true" customFormat="true" s="5">
      <c r="A949" s="8" t="s">
        <v>612</v>
      </c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</row>
    <row r="950" ht="10.95" customHeight="true" customFormat="true" s="9">
      <c r="A950" s="10" t="s">
        <v>17</v>
      </c>
      <c r="B950" s="10"/>
      <c r="C950" s="10"/>
      <c r="D950" s="10"/>
      <c r="E950" s="10"/>
      <c r="F950" s="10"/>
      <c r="G950" s="10"/>
      <c r="H950" s="11">
        <v>0</v>
      </c>
      <c r="I950" s="11">
        <v>0</v>
      </c>
      <c r="J950" s="11">
        <f ca="1">(H950 - I950)</f>
        <v>0</v>
      </c>
      <c r="K950" s="11">
        <v>0</v>
      </c>
      <c r="L950" s="10"/>
      <c r="M950" s="10"/>
    </row>
    <row r="951" ht="21.3" customHeight="true" customFormat="true" s="9">
      <c r="A951" s="12">
        <v>45443</v>
      </c>
      <c r="B951" s="13" t="s">
        <v>613</v>
      </c>
      <c r="C951" s="13" t="s">
        <v>553</v>
      </c>
      <c r="D951" s="13" t="s">
        <v>614</v>
      </c>
      <c r="E951" s="13" t="s">
        <v>339</v>
      </c>
      <c r="F951" s="22" t="s">
        <v>615</v>
      </c>
      <c r="G951" s="13" t="s">
        <v>109</v>
      </c>
      <c r="H951" s="14">
        <v>237595.4100</v>
      </c>
      <c r="I951" s="14">
        <v>0</v>
      </c>
      <c r="J951" s="14">
        <f ca="1">((J950 + H951) - I951)</f>
        <v>0</v>
      </c>
      <c r="K951" s="14">
        <v>0</v>
      </c>
      <c r="L951" s="15">
        <v>0</v>
      </c>
      <c r="M951" s="13" t="s">
        <v>157</v>
      </c>
    </row>
    <row r="952" ht="10.95" customHeight="true" customFormat="true" s="9">
      <c r="A952" s="20" t="s">
        <v>616</v>
      </c>
      <c r="B952" s="20"/>
      <c r="C952" s="20"/>
      <c r="D952" s="20"/>
      <c r="E952" s="20"/>
      <c r="F952" s="20"/>
      <c r="G952" s="20"/>
      <c r="H952" s="21">
        <f ca="1">H951</f>
        <v>0</v>
      </c>
      <c r="I952" s="21">
        <f ca="1">I951</f>
        <v>0</v>
      </c>
      <c r="J952" s="21">
        <f ca="1">J951</f>
        <v>0</v>
      </c>
      <c r="K952" s="21">
        <f ca="1">K951</f>
        <v>0</v>
      </c>
      <c r="L952" s="20"/>
      <c r="M952" s="20"/>
    </row>
    <row r="953" ht="10.95" customHeight="true" customFormat="true" s="9">
      <c r="A953" s="20" t="s">
        <v>25</v>
      </c>
      <c r="B953" s="20"/>
      <c r="C953" s="20"/>
      <c r="D953" s="20"/>
      <c r="E953" s="20"/>
      <c r="F953" s="20"/>
      <c r="G953" s="20"/>
      <c r="H953" s="21">
        <v>237595.4100</v>
      </c>
      <c r="I953" s="21">
        <v>0</v>
      </c>
      <c r="J953" s="21">
        <v>0</v>
      </c>
      <c r="K953" s="21">
        <v>0</v>
      </c>
      <c r="L953" s="20"/>
      <c r="M953" s="20"/>
    </row>
    <row r="954" ht="10.95" customHeight="true" customFormat="true" s="9">
      <c r="A954" s="10" t="s">
        <v>26</v>
      </c>
      <c r="B954" s="10"/>
      <c r="C954" s="10"/>
      <c r="D954" s="10"/>
      <c r="E954" s="10"/>
      <c r="F954" s="10"/>
      <c r="G954" s="10"/>
      <c r="H954" s="11">
        <v>237595.4100</v>
      </c>
      <c r="I954" s="11">
        <v>0</v>
      </c>
      <c r="J954" s="11">
        <f ca="1">J951</f>
        <v>0</v>
      </c>
      <c r="K954" s="11">
        <v>0</v>
      </c>
      <c r="L954" s="10"/>
      <c r="M954" s="10"/>
    </row>
    <row r="955" ht="13.35" customHeight="true"/>
    <row r="956" ht="12.1" customHeight="true" customFormat="true" s="5">
      <c r="A956" s="8" t="s">
        <v>617</v>
      </c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</row>
    <row r="957" ht="10.95" customHeight="true" customFormat="true" s="9">
      <c r="A957" s="10" t="s">
        <v>17</v>
      </c>
      <c r="B957" s="10"/>
      <c r="C957" s="10"/>
      <c r="D957" s="10"/>
      <c r="E957" s="10"/>
      <c r="F957" s="10"/>
      <c r="G957" s="10"/>
      <c r="H957" s="11">
        <v>0</v>
      </c>
      <c r="I957" s="11">
        <v>0</v>
      </c>
      <c r="J957" s="11">
        <f ca="1">(H957 - I957)</f>
        <v>0</v>
      </c>
      <c r="K957" s="11">
        <v>0</v>
      </c>
      <c r="L957" s="10"/>
      <c r="M957" s="10"/>
    </row>
    <row r="958" ht="10.95" customHeight="true" customFormat="true" s="9">
      <c r="A958" s="12">
        <v>45565</v>
      </c>
      <c r="B958" s="13" t="s">
        <v>618</v>
      </c>
      <c r="C958" s="13" t="s">
        <v>553</v>
      </c>
      <c r="D958" s="13" t="s">
        <v>619</v>
      </c>
      <c r="E958" s="13" t="s">
        <v>339</v>
      </c>
      <c r="F958" s="13" t="s">
        <v>620</v>
      </c>
      <c r="G958" s="13" t="s">
        <v>602</v>
      </c>
      <c r="H958" s="14">
        <v>119480.8800</v>
      </c>
      <c r="I958" s="14">
        <v>0</v>
      </c>
      <c r="J958" s="14">
        <f ca="1">((J957 + H958) - I958)</f>
        <v>0</v>
      </c>
      <c r="K958" s="14">
        <v>0</v>
      </c>
      <c r="L958" s="15">
        <v>0</v>
      </c>
      <c r="M958" s="13" t="s">
        <v>157</v>
      </c>
    </row>
    <row r="959" ht="21.3" customHeight="true" customFormat="true" s="9">
      <c r="A959" s="16">
        <v>45565</v>
      </c>
      <c r="B959" s="17" t="s">
        <v>618</v>
      </c>
      <c r="C959" s="17" t="s">
        <v>553</v>
      </c>
      <c r="D959" s="17" t="s">
        <v>619</v>
      </c>
      <c r="E959" s="17" t="s">
        <v>339</v>
      </c>
      <c r="F959" s="23" t="s">
        <v>615</v>
      </c>
      <c r="G959" s="17" t="s">
        <v>621</v>
      </c>
      <c r="H959" s="18">
        <v>40960.0700</v>
      </c>
      <c r="I959" s="18">
        <v>0</v>
      </c>
      <c r="J959" s="18">
        <f ca="1">((J958 + H959) - I959)</f>
        <v>0</v>
      </c>
      <c r="K959" s="18">
        <v>0</v>
      </c>
      <c r="L959" s="19">
        <v>0</v>
      </c>
      <c r="M959" s="17" t="s">
        <v>157</v>
      </c>
    </row>
    <row r="960" ht="31.65" customHeight="true" customFormat="true" s="9">
      <c r="A960" s="16">
        <v>45626</v>
      </c>
      <c r="B960" s="17" t="s">
        <v>618</v>
      </c>
      <c r="C960" s="17" t="s">
        <v>553</v>
      </c>
      <c r="D960" s="17" t="s">
        <v>619</v>
      </c>
      <c r="E960" s="17" t="s">
        <v>339</v>
      </c>
      <c r="F960" s="23" t="s">
        <v>622</v>
      </c>
      <c r="G960" s="17" t="s">
        <v>623</v>
      </c>
      <c r="H960" s="18">
        <v>78052.5600</v>
      </c>
      <c r="I960" s="18">
        <v>0</v>
      </c>
      <c r="J960" s="18">
        <f ca="1">((J959 + H960) - I960)</f>
        <v>0</v>
      </c>
      <c r="K960" s="18">
        <v>0</v>
      </c>
      <c r="L960" s="19">
        <v>0</v>
      </c>
      <c r="M960" s="17" t="s">
        <v>431</v>
      </c>
    </row>
    <row r="961" ht="10.95" customHeight="true" customFormat="true" s="9">
      <c r="A961" s="20" t="s">
        <v>624</v>
      </c>
      <c r="B961" s="20"/>
      <c r="C961" s="20"/>
      <c r="D961" s="20"/>
      <c r="E961" s="20"/>
      <c r="F961" s="20"/>
      <c r="G961" s="20"/>
      <c r="H961" s="21">
        <f ca="1">SUM(H958:H960)</f>
        <v>0</v>
      </c>
      <c r="I961" s="21">
        <f ca="1">SUM(I958:I960)</f>
        <v>0</v>
      </c>
      <c r="J961" s="21">
        <f ca="1">J960</f>
        <v>0</v>
      </c>
      <c r="K961" s="21">
        <f ca="1">SUM(K958:K960)</f>
        <v>0</v>
      </c>
      <c r="L961" s="20"/>
      <c r="M961" s="20"/>
    </row>
    <row r="962" ht="10.95" customHeight="true" customFormat="true" s="9">
      <c r="A962" s="20" t="s">
        <v>25</v>
      </c>
      <c r="B962" s="20"/>
      <c r="C962" s="20"/>
      <c r="D962" s="20"/>
      <c r="E962" s="20"/>
      <c r="F962" s="20"/>
      <c r="G962" s="20"/>
      <c r="H962" s="21">
        <v>238493.5100</v>
      </c>
      <c r="I962" s="21">
        <v>0</v>
      </c>
      <c r="J962" s="21">
        <v>0</v>
      </c>
      <c r="K962" s="21">
        <v>0</v>
      </c>
      <c r="L962" s="20"/>
      <c r="M962" s="20"/>
    </row>
    <row r="963" ht="10.95" customHeight="true" customFormat="true" s="9">
      <c r="A963" s="10" t="s">
        <v>26</v>
      </c>
      <c r="B963" s="10"/>
      <c r="C963" s="10"/>
      <c r="D963" s="10"/>
      <c r="E963" s="10"/>
      <c r="F963" s="10"/>
      <c r="G963" s="10"/>
      <c r="H963" s="11">
        <v>238493.5100</v>
      </c>
      <c r="I963" s="11">
        <v>0</v>
      </c>
      <c r="J963" s="11">
        <f ca="1">J960</f>
        <v>0</v>
      </c>
      <c r="K963" s="11">
        <v>0</v>
      </c>
      <c r="L963" s="10"/>
      <c r="M963" s="10"/>
    </row>
    <row r="964" ht="13.35" customHeight="true"/>
    <row r="965" ht="12.1" customHeight="true" customFormat="true" s="5">
      <c r="A965" s="8" t="s">
        <v>625</v>
      </c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</row>
    <row r="966" ht="10.95" customHeight="true" customFormat="true" s="9">
      <c r="A966" s="10" t="s">
        <v>17</v>
      </c>
      <c r="B966" s="10"/>
      <c r="C966" s="10"/>
      <c r="D966" s="10"/>
      <c r="E966" s="10"/>
      <c r="F966" s="10"/>
      <c r="G966" s="10"/>
      <c r="H966" s="11">
        <v>0</v>
      </c>
      <c r="I966" s="11">
        <v>0</v>
      </c>
      <c r="J966" s="11">
        <f ca="1">(H966 - I966)</f>
        <v>0</v>
      </c>
      <c r="K966" s="11">
        <v>0</v>
      </c>
      <c r="L966" s="10"/>
      <c r="M966" s="10"/>
    </row>
    <row r="967" ht="21.3" customHeight="true" customFormat="true" s="9">
      <c r="A967" s="12">
        <v>45443</v>
      </c>
      <c r="B967" s="13" t="s">
        <v>626</v>
      </c>
      <c r="C967" s="13" t="s">
        <v>553</v>
      </c>
      <c r="D967" s="13" t="s">
        <v>627</v>
      </c>
      <c r="E967" s="13" t="s">
        <v>339</v>
      </c>
      <c r="F967" s="22" t="s">
        <v>628</v>
      </c>
      <c r="G967" s="13" t="s">
        <v>110</v>
      </c>
      <c r="H967" s="14">
        <v>172613.8400</v>
      </c>
      <c r="I967" s="14">
        <v>0</v>
      </c>
      <c r="J967" s="14">
        <f ca="1">((J966 + H967) - I967)</f>
        <v>0</v>
      </c>
      <c r="K967" s="14">
        <v>0</v>
      </c>
      <c r="L967" s="15">
        <v>0</v>
      </c>
      <c r="M967" s="13" t="s">
        <v>157</v>
      </c>
    </row>
    <row r="968" ht="21.3" customHeight="true" customFormat="true" s="9">
      <c r="A968" s="16">
        <v>45443</v>
      </c>
      <c r="B968" s="17" t="s">
        <v>626</v>
      </c>
      <c r="C968" s="17" t="s">
        <v>553</v>
      </c>
      <c r="D968" s="17" t="s">
        <v>627</v>
      </c>
      <c r="E968" s="17" t="s">
        <v>339</v>
      </c>
      <c r="F968" s="23" t="s">
        <v>629</v>
      </c>
      <c r="G968" s="17" t="s">
        <v>110</v>
      </c>
      <c r="H968" s="18">
        <v>188011.3300</v>
      </c>
      <c r="I968" s="18">
        <v>0</v>
      </c>
      <c r="J968" s="18">
        <f ca="1">((J967 + H968) - I968)</f>
        <v>0</v>
      </c>
      <c r="K968" s="18">
        <v>0</v>
      </c>
      <c r="L968" s="19">
        <v>0</v>
      </c>
      <c r="M968" s="17" t="s">
        <v>157</v>
      </c>
    </row>
    <row r="969" ht="10.95" customHeight="true" customFormat="true" s="9">
      <c r="A969" s="16">
        <v>45596</v>
      </c>
      <c r="B969" s="17" t="s">
        <v>626</v>
      </c>
      <c r="C969" s="17" t="s">
        <v>553</v>
      </c>
      <c r="D969" s="17" t="s">
        <v>627</v>
      </c>
      <c r="E969" s="17" t="s">
        <v>339</v>
      </c>
      <c r="F969" s="17" t="s">
        <v>630</v>
      </c>
      <c r="G969" s="17" t="s">
        <v>631</v>
      </c>
      <c r="H969" s="18">
        <v>140206.8100</v>
      </c>
      <c r="I969" s="18">
        <v>0</v>
      </c>
      <c r="J969" s="18">
        <f ca="1">((J968 + H969) - I969)</f>
        <v>0</v>
      </c>
      <c r="K969" s="18">
        <v>0</v>
      </c>
      <c r="L969" s="19">
        <v>0</v>
      </c>
      <c r="M969" s="17" t="s">
        <v>431</v>
      </c>
    </row>
    <row r="970" ht="10.95" customHeight="true" customFormat="true" s="9">
      <c r="A970" s="16">
        <v>45596</v>
      </c>
      <c r="B970" s="17" t="s">
        <v>626</v>
      </c>
      <c r="C970" s="17" t="s">
        <v>553</v>
      </c>
      <c r="D970" s="17" t="s">
        <v>627</v>
      </c>
      <c r="E970" s="17" t="s">
        <v>339</v>
      </c>
      <c r="F970" s="17" t="s">
        <v>632</v>
      </c>
      <c r="G970" s="17" t="s">
        <v>631</v>
      </c>
      <c r="H970" s="18">
        <v>152713.5300</v>
      </c>
      <c r="I970" s="18">
        <v>0</v>
      </c>
      <c r="J970" s="18">
        <f ca="1">((J969 + H970) - I970)</f>
        <v>0</v>
      </c>
      <c r="K970" s="18">
        <v>0</v>
      </c>
      <c r="L970" s="19">
        <v>0</v>
      </c>
      <c r="M970" s="17" t="s">
        <v>431</v>
      </c>
    </row>
    <row r="971" ht="10.95" customHeight="true" customFormat="true" s="9">
      <c r="A971" s="20" t="s">
        <v>633</v>
      </c>
      <c r="B971" s="20"/>
      <c r="C971" s="20"/>
      <c r="D971" s="20"/>
      <c r="E971" s="20"/>
      <c r="F971" s="20"/>
      <c r="G971" s="20"/>
      <c r="H971" s="21">
        <f ca="1">SUM(H967:H970)</f>
        <v>0</v>
      </c>
      <c r="I971" s="21">
        <f ca="1">SUM(I967:I970)</f>
        <v>0</v>
      </c>
      <c r="J971" s="21">
        <f ca="1">J970</f>
        <v>0</v>
      </c>
      <c r="K971" s="21">
        <f ca="1">SUM(K967:K970)</f>
        <v>0</v>
      </c>
      <c r="L971" s="20"/>
      <c r="M971" s="20"/>
    </row>
    <row r="972" ht="10.95" customHeight="true" customFormat="true" s="9">
      <c r="A972" s="20" t="s">
        <v>25</v>
      </c>
      <c r="B972" s="20"/>
      <c r="C972" s="20"/>
      <c r="D972" s="20"/>
      <c r="E972" s="20"/>
      <c r="F972" s="20"/>
      <c r="G972" s="20"/>
      <c r="H972" s="21">
        <v>653545.5100</v>
      </c>
      <c r="I972" s="21">
        <v>0</v>
      </c>
      <c r="J972" s="21">
        <v>0</v>
      </c>
      <c r="K972" s="21">
        <v>0</v>
      </c>
      <c r="L972" s="20"/>
      <c r="M972" s="20"/>
    </row>
    <row r="973" ht="10.95" customHeight="true" customFormat="true" s="9">
      <c r="A973" s="10" t="s">
        <v>26</v>
      </c>
      <c r="B973" s="10"/>
      <c r="C973" s="10"/>
      <c r="D973" s="10"/>
      <c r="E973" s="10"/>
      <c r="F973" s="10"/>
      <c r="G973" s="10"/>
      <c r="H973" s="11">
        <v>653545.5100</v>
      </c>
      <c r="I973" s="11">
        <v>0</v>
      </c>
      <c r="J973" s="11">
        <f ca="1">J970</f>
        <v>0</v>
      </c>
      <c r="K973" s="11">
        <v>0</v>
      </c>
      <c r="L973" s="10"/>
      <c r="M973" s="10"/>
    </row>
    <row r="974" ht="13.35" customHeight="true"/>
    <row r="975" ht="12.1" customHeight="true" customFormat="true" s="5">
      <c r="A975" s="8" t="s">
        <v>634</v>
      </c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</row>
    <row r="976" ht="10.95" customHeight="true" customFormat="true" s="9">
      <c r="A976" s="10" t="s">
        <v>17</v>
      </c>
      <c r="B976" s="10"/>
      <c r="C976" s="10"/>
      <c r="D976" s="10"/>
      <c r="E976" s="10"/>
      <c r="F976" s="10"/>
      <c r="G976" s="10"/>
      <c r="H976" s="11">
        <v>0</v>
      </c>
      <c r="I976" s="11">
        <v>0</v>
      </c>
      <c r="J976" s="11">
        <f ca="1">(H976 - I976)</f>
        <v>0</v>
      </c>
      <c r="K976" s="11">
        <v>0</v>
      </c>
      <c r="L976" s="10"/>
      <c r="M976" s="10"/>
    </row>
    <row r="977" ht="21.3" customHeight="true" customFormat="true" s="9">
      <c r="A977" s="12">
        <v>45443</v>
      </c>
      <c r="B977" s="13" t="s">
        <v>635</v>
      </c>
      <c r="C977" s="13" t="s">
        <v>553</v>
      </c>
      <c r="D977" s="13" t="s">
        <v>636</v>
      </c>
      <c r="E977" s="13" t="s">
        <v>339</v>
      </c>
      <c r="F977" s="22" t="s">
        <v>637</v>
      </c>
      <c r="G977" s="13" t="s">
        <v>111</v>
      </c>
      <c r="H977" s="14">
        <v>3001.4500</v>
      </c>
      <c r="I977" s="14">
        <v>0</v>
      </c>
      <c r="J977" s="14">
        <f ca="1">((J976 + H977) - I977)</f>
        <v>0</v>
      </c>
      <c r="K977" s="14">
        <v>0</v>
      </c>
      <c r="L977" s="15">
        <v>0</v>
      </c>
      <c r="M977" s="13" t="s">
        <v>157</v>
      </c>
    </row>
    <row r="978" ht="21.3" customHeight="true" customFormat="true" s="9">
      <c r="A978" s="16">
        <v>45443</v>
      </c>
      <c r="B978" s="17" t="s">
        <v>635</v>
      </c>
      <c r="C978" s="17" t="s">
        <v>553</v>
      </c>
      <c r="D978" s="17" t="s">
        <v>636</v>
      </c>
      <c r="E978" s="17" t="s">
        <v>339</v>
      </c>
      <c r="F978" s="23" t="s">
        <v>638</v>
      </c>
      <c r="G978" s="17" t="s">
        <v>111</v>
      </c>
      <c r="H978" s="18">
        <v>6002.9200</v>
      </c>
      <c r="I978" s="18">
        <v>0</v>
      </c>
      <c r="J978" s="18">
        <f ca="1">((J977 + H978) - I978)</f>
        <v>0</v>
      </c>
      <c r="K978" s="18">
        <v>0</v>
      </c>
      <c r="L978" s="19">
        <v>0</v>
      </c>
      <c r="M978" s="17" t="s">
        <v>157</v>
      </c>
    </row>
    <row r="979" ht="21.3" customHeight="true" customFormat="true" s="9">
      <c r="A979" s="16">
        <v>45443</v>
      </c>
      <c r="B979" s="17" t="s">
        <v>635</v>
      </c>
      <c r="C979" s="17" t="s">
        <v>553</v>
      </c>
      <c r="D979" s="17" t="s">
        <v>636</v>
      </c>
      <c r="E979" s="17" t="s">
        <v>339</v>
      </c>
      <c r="F979" s="23" t="s">
        <v>639</v>
      </c>
      <c r="G979" s="17" t="s">
        <v>111</v>
      </c>
      <c r="H979" s="18">
        <v>6002.9200</v>
      </c>
      <c r="I979" s="18">
        <v>0</v>
      </c>
      <c r="J979" s="18">
        <f ca="1">((J978 + H979) - I979)</f>
        <v>0</v>
      </c>
      <c r="K979" s="18">
        <v>0</v>
      </c>
      <c r="L979" s="19">
        <v>0</v>
      </c>
      <c r="M979" s="17" t="s">
        <v>157</v>
      </c>
    </row>
    <row r="980" ht="21.3" customHeight="true" customFormat="true" s="9">
      <c r="A980" s="16">
        <v>45443</v>
      </c>
      <c r="B980" s="17" t="s">
        <v>635</v>
      </c>
      <c r="C980" s="17" t="s">
        <v>553</v>
      </c>
      <c r="D980" s="17" t="s">
        <v>636</v>
      </c>
      <c r="E980" s="17" t="s">
        <v>339</v>
      </c>
      <c r="F980" s="23" t="s">
        <v>640</v>
      </c>
      <c r="G980" s="17" t="s">
        <v>110</v>
      </c>
      <c r="H980" s="18">
        <v>172673.8800</v>
      </c>
      <c r="I980" s="18">
        <v>0</v>
      </c>
      <c r="J980" s="18">
        <f ca="1">((J979 + H980) - I980)</f>
        <v>0</v>
      </c>
      <c r="K980" s="18">
        <v>0</v>
      </c>
      <c r="L980" s="19">
        <v>0</v>
      </c>
      <c r="M980" s="17" t="s">
        <v>157</v>
      </c>
    </row>
    <row r="981" ht="10.95" customHeight="true" customFormat="true" s="9">
      <c r="A981" s="16">
        <v>45596</v>
      </c>
      <c r="B981" s="17" t="s">
        <v>635</v>
      </c>
      <c r="C981" s="17" t="s">
        <v>553</v>
      </c>
      <c r="D981" s="17" t="s">
        <v>636</v>
      </c>
      <c r="E981" s="17" t="s">
        <v>339</v>
      </c>
      <c r="F981" s="17" t="s">
        <v>641</v>
      </c>
      <c r="G981" s="17" t="s">
        <v>631</v>
      </c>
      <c r="H981" s="18">
        <v>85239.8700</v>
      </c>
      <c r="I981" s="18">
        <v>0</v>
      </c>
      <c r="J981" s="18">
        <f ca="1">((J980 + H981) - I981)</f>
        <v>0</v>
      </c>
      <c r="K981" s="18">
        <v>0</v>
      </c>
      <c r="L981" s="19">
        <v>0</v>
      </c>
      <c r="M981" s="17" t="s">
        <v>431</v>
      </c>
    </row>
    <row r="982" ht="21.3" customHeight="true" customFormat="true" s="9">
      <c r="A982" s="16">
        <v>45596</v>
      </c>
      <c r="B982" s="17" t="s">
        <v>635</v>
      </c>
      <c r="C982" s="17" t="s">
        <v>553</v>
      </c>
      <c r="D982" s="17" t="s">
        <v>636</v>
      </c>
      <c r="E982" s="17" t="s">
        <v>339</v>
      </c>
      <c r="F982" s="23" t="s">
        <v>637</v>
      </c>
      <c r="G982" s="17" t="s">
        <v>642</v>
      </c>
      <c r="H982" s="18">
        <v>1524.8500</v>
      </c>
      <c r="I982" s="18">
        <v>0</v>
      </c>
      <c r="J982" s="18">
        <f ca="1">((J981 + H982) - I982)</f>
        <v>0</v>
      </c>
      <c r="K982" s="18">
        <v>0</v>
      </c>
      <c r="L982" s="19">
        <v>0</v>
      </c>
      <c r="M982" s="17" t="s">
        <v>431</v>
      </c>
    </row>
    <row r="983" ht="31.65" customHeight="true" customFormat="true" s="9">
      <c r="A983" s="16">
        <v>45596</v>
      </c>
      <c r="B983" s="17" t="s">
        <v>635</v>
      </c>
      <c r="C983" s="17" t="s">
        <v>553</v>
      </c>
      <c r="D983" s="17" t="s">
        <v>636</v>
      </c>
      <c r="E983" s="17" t="s">
        <v>339</v>
      </c>
      <c r="F983" s="23" t="s">
        <v>643</v>
      </c>
      <c r="G983" s="17" t="s">
        <v>642</v>
      </c>
      <c r="H983" s="18">
        <v>3049.7300</v>
      </c>
      <c r="I983" s="18">
        <v>0</v>
      </c>
      <c r="J983" s="18">
        <f ca="1">((J982 + H983) - I983)</f>
        <v>0</v>
      </c>
      <c r="K983" s="18">
        <v>0</v>
      </c>
      <c r="L983" s="19">
        <v>0</v>
      </c>
      <c r="M983" s="17" t="s">
        <v>431</v>
      </c>
    </row>
    <row r="984" ht="31.65" customHeight="true" customFormat="true" s="9">
      <c r="A984" s="16">
        <v>45596</v>
      </c>
      <c r="B984" s="17" t="s">
        <v>635</v>
      </c>
      <c r="C984" s="17" t="s">
        <v>553</v>
      </c>
      <c r="D984" s="17" t="s">
        <v>636</v>
      </c>
      <c r="E984" s="17" t="s">
        <v>339</v>
      </c>
      <c r="F984" s="23" t="s">
        <v>644</v>
      </c>
      <c r="G984" s="17" t="s">
        <v>642</v>
      </c>
      <c r="H984" s="18">
        <v>3049.7300</v>
      </c>
      <c r="I984" s="18">
        <v>0</v>
      </c>
      <c r="J984" s="18">
        <f ca="1">((J983 + H984) - I984)</f>
        <v>0</v>
      </c>
      <c r="K984" s="18">
        <v>0</v>
      </c>
      <c r="L984" s="19">
        <v>0</v>
      </c>
      <c r="M984" s="17" t="s">
        <v>431</v>
      </c>
    </row>
    <row r="985" ht="10.95" customHeight="true" customFormat="true" s="9">
      <c r="A985" s="16">
        <v>45596</v>
      </c>
      <c r="B985" s="17" t="s">
        <v>635</v>
      </c>
      <c r="C985" s="17" t="s">
        <v>553</v>
      </c>
      <c r="D985" s="17" t="s">
        <v>636</v>
      </c>
      <c r="E985" s="17" t="s">
        <v>339</v>
      </c>
      <c r="F985" s="17" t="s">
        <v>645</v>
      </c>
      <c r="G985" s="17" t="s">
        <v>642</v>
      </c>
      <c r="H985" s="18">
        <v>2485.5300</v>
      </c>
      <c r="I985" s="18">
        <v>0</v>
      </c>
      <c r="J985" s="18">
        <f ca="1">((J984 + H985) - I985)</f>
        <v>0</v>
      </c>
      <c r="K985" s="18">
        <v>0</v>
      </c>
      <c r="L985" s="19">
        <v>0</v>
      </c>
      <c r="M985" s="17" t="s">
        <v>431</v>
      </c>
    </row>
    <row r="986" ht="10.95" customHeight="true" customFormat="true" s="9">
      <c r="A986" s="20" t="s">
        <v>646</v>
      </c>
      <c r="B986" s="20"/>
      <c r="C986" s="20"/>
      <c r="D986" s="20"/>
      <c r="E986" s="20"/>
      <c r="F986" s="20"/>
      <c r="G986" s="20"/>
      <c r="H986" s="21">
        <f ca="1">SUM(H977:H985)</f>
        <v>0</v>
      </c>
      <c r="I986" s="21">
        <f ca="1">SUM(I977:I985)</f>
        <v>0</v>
      </c>
      <c r="J986" s="21">
        <f ca="1">J985</f>
        <v>0</v>
      </c>
      <c r="K986" s="21">
        <f ca="1">SUM(K977:K985)</f>
        <v>0</v>
      </c>
      <c r="L986" s="20"/>
      <c r="M986" s="20"/>
    </row>
    <row r="987" ht="10.95" customHeight="true" customFormat="true" s="9">
      <c r="A987" s="20" t="s">
        <v>25</v>
      </c>
      <c r="B987" s="20"/>
      <c r="C987" s="20"/>
      <c r="D987" s="20"/>
      <c r="E987" s="20"/>
      <c r="F987" s="20"/>
      <c r="G987" s="20"/>
      <c r="H987" s="21">
        <v>283030.8800</v>
      </c>
      <c r="I987" s="21">
        <v>0</v>
      </c>
      <c r="J987" s="21">
        <v>0</v>
      </c>
      <c r="K987" s="21">
        <v>0</v>
      </c>
      <c r="L987" s="20"/>
      <c r="M987" s="20"/>
    </row>
    <row r="988" ht="10.95" customHeight="true" customFormat="true" s="9">
      <c r="A988" s="10" t="s">
        <v>26</v>
      </c>
      <c r="B988" s="10"/>
      <c r="C988" s="10"/>
      <c r="D988" s="10"/>
      <c r="E988" s="10"/>
      <c r="F988" s="10"/>
      <c r="G988" s="10"/>
      <c r="H988" s="11">
        <v>283030.8800</v>
      </c>
      <c r="I988" s="11">
        <v>0</v>
      </c>
      <c r="J988" s="11">
        <f ca="1">J985</f>
        <v>0</v>
      </c>
      <c r="K988" s="11">
        <v>0</v>
      </c>
      <c r="L988" s="10"/>
      <c r="M988" s="10"/>
    </row>
    <row r="989" ht="13.35" customHeight="true"/>
    <row r="990" ht="12.1" customHeight="true" customFormat="true" s="5">
      <c r="A990" s="8" t="s">
        <v>647</v>
      </c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</row>
    <row r="991" ht="10.95" customHeight="true" customFormat="true" s="9">
      <c r="A991" s="10" t="s">
        <v>17</v>
      </c>
      <c r="B991" s="10"/>
      <c r="C991" s="10"/>
      <c r="D991" s="10"/>
      <c r="E991" s="10"/>
      <c r="F991" s="10"/>
      <c r="G991" s="10"/>
      <c r="H991" s="11">
        <v>0</v>
      </c>
      <c r="I991" s="11">
        <v>0</v>
      </c>
      <c r="J991" s="11">
        <f ca="1">(H991 - I991)</f>
        <v>0</v>
      </c>
      <c r="K991" s="11">
        <v>0</v>
      </c>
      <c r="L991" s="10"/>
      <c r="M991" s="10"/>
    </row>
    <row r="992" ht="21.3" customHeight="true" customFormat="true" s="9">
      <c r="A992" s="12">
        <v>45443</v>
      </c>
      <c r="B992" s="13" t="s">
        <v>648</v>
      </c>
      <c r="C992" s="13" t="s">
        <v>553</v>
      </c>
      <c r="D992" s="13" t="s">
        <v>649</v>
      </c>
      <c r="E992" s="13" t="s">
        <v>339</v>
      </c>
      <c r="F992" s="22" t="s">
        <v>650</v>
      </c>
      <c r="G992" s="13" t="s">
        <v>124</v>
      </c>
      <c r="H992" s="14">
        <v>224989.2900</v>
      </c>
      <c r="I992" s="14">
        <v>0</v>
      </c>
      <c r="J992" s="14">
        <f ca="1">((J991 + H992) - I992)</f>
        <v>0</v>
      </c>
      <c r="K992" s="14">
        <v>0</v>
      </c>
      <c r="L992" s="15">
        <v>0</v>
      </c>
      <c r="M992" s="13" t="s">
        <v>157</v>
      </c>
    </row>
    <row r="993" ht="21.3" customHeight="true" customFormat="true" s="9">
      <c r="A993" s="16">
        <v>45443</v>
      </c>
      <c r="B993" s="17" t="s">
        <v>648</v>
      </c>
      <c r="C993" s="17" t="s">
        <v>553</v>
      </c>
      <c r="D993" s="17" t="s">
        <v>649</v>
      </c>
      <c r="E993" s="17" t="s">
        <v>339</v>
      </c>
      <c r="F993" s="23" t="s">
        <v>651</v>
      </c>
      <c r="G993" s="17" t="s">
        <v>125</v>
      </c>
      <c r="H993" s="18">
        <v>12005.8300</v>
      </c>
      <c r="I993" s="18">
        <v>0</v>
      </c>
      <c r="J993" s="18">
        <f ca="1">((J992 + H993) - I993)</f>
        <v>0</v>
      </c>
      <c r="K993" s="18">
        <v>0</v>
      </c>
      <c r="L993" s="19">
        <v>0</v>
      </c>
      <c r="M993" s="17" t="s">
        <v>157</v>
      </c>
    </row>
    <row r="994" ht="21.3" customHeight="true" customFormat="true" s="9">
      <c r="A994" s="16">
        <v>45443</v>
      </c>
      <c r="B994" s="17" t="s">
        <v>648</v>
      </c>
      <c r="C994" s="17" t="s">
        <v>553</v>
      </c>
      <c r="D994" s="17" t="s">
        <v>649</v>
      </c>
      <c r="E994" s="17" t="s">
        <v>339</v>
      </c>
      <c r="F994" s="23" t="s">
        <v>652</v>
      </c>
      <c r="G994" s="17" t="s">
        <v>129</v>
      </c>
      <c r="H994" s="18">
        <v>117537.0900</v>
      </c>
      <c r="I994" s="18">
        <v>0</v>
      </c>
      <c r="J994" s="18">
        <f ca="1">((J993 + H994) - I994)</f>
        <v>0</v>
      </c>
      <c r="K994" s="18">
        <v>0</v>
      </c>
      <c r="L994" s="19">
        <v>0</v>
      </c>
      <c r="M994" s="17" t="s">
        <v>157</v>
      </c>
    </row>
    <row r="995" ht="21.3" customHeight="true" customFormat="true" s="9">
      <c r="A995" s="16">
        <v>45443</v>
      </c>
      <c r="B995" s="17" t="s">
        <v>648</v>
      </c>
      <c r="C995" s="17" t="s">
        <v>553</v>
      </c>
      <c r="D995" s="17" t="s">
        <v>649</v>
      </c>
      <c r="E995" s="17" t="s">
        <v>339</v>
      </c>
      <c r="F995" s="23" t="s">
        <v>653</v>
      </c>
      <c r="G995" s="17" t="s">
        <v>130</v>
      </c>
      <c r="H995" s="18">
        <v>6002.9200</v>
      </c>
      <c r="I995" s="18">
        <v>0</v>
      </c>
      <c r="J995" s="18">
        <f ca="1">((J994 + H995) - I995)</f>
        <v>0</v>
      </c>
      <c r="K995" s="18">
        <v>0</v>
      </c>
      <c r="L995" s="19">
        <v>0</v>
      </c>
      <c r="M995" s="17" t="s">
        <v>157</v>
      </c>
    </row>
    <row r="996" ht="21.3" customHeight="true" customFormat="true" s="9">
      <c r="A996" s="16">
        <v>45688</v>
      </c>
      <c r="B996" s="17" t="s">
        <v>648</v>
      </c>
      <c r="C996" s="17" t="s">
        <v>553</v>
      </c>
      <c r="D996" s="17" t="s">
        <v>649</v>
      </c>
      <c r="E996" s="17" t="s">
        <v>339</v>
      </c>
      <c r="F996" s="23" t="s">
        <v>654</v>
      </c>
      <c r="G996" s="17" t="s">
        <v>655</v>
      </c>
      <c r="H996" s="18">
        <v>6441.5300</v>
      </c>
      <c r="I996" s="18">
        <v>0</v>
      </c>
      <c r="J996" s="18">
        <f ca="1">((J995 + H996) - I996)</f>
        <v>0</v>
      </c>
      <c r="K996" s="18">
        <v>0</v>
      </c>
      <c r="L996" s="19">
        <v>0</v>
      </c>
      <c r="M996" s="17" t="s">
        <v>157</v>
      </c>
    </row>
    <row r="997" ht="10.95" customHeight="true" customFormat="true" s="9">
      <c r="A997" s="16">
        <v>45688</v>
      </c>
      <c r="B997" s="17" t="s">
        <v>648</v>
      </c>
      <c r="C997" s="17" t="s">
        <v>553</v>
      </c>
      <c r="D997" s="17" t="s">
        <v>649</v>
      </c>
      <c r="E997" s="17" t="s">
        <v>339</v>
      </c>
      <c r="F997" s="17" t="s">
        <v>656</v>
      </c>
      <c r="G997" s="17" t="s">
        <v>655</v>
      </c>
      <c r="H997" s="18">
        <v>3381.8100</v>
      </c>
      <c r="I997" s="18">
        <v>0</v>
      </c>
      <c r="J997" s="18">
        <f ca="1">((J996 + H997) - I997)</f>
        <v>0</v>
      </c>
      <c r="K997" s="18">
        <v>0</v>
      </c>
      <c r="L997" s="19">
        <v>0</v>
      </c>
      <c r="M997" s="17" t="s">
        <v>157</v>
      </c>
    </row>
    <row r="998" ht="10.95" customHeight="true" customFormat="true" s="9">
      <c r="A998" s="16">
        <v>45688</v>
      </c>
      <c r="B998" s="17" t="s">
        <v>648</v>
      </c>
      <c r="C998" s="17" t="s">
        <v>553</v>
      </c>
      <c r="D998" s="17" t="s">
        <v>649</v>
      </c>
      <c r="E998" s="17" t="s">
        <v>339</v>
      </c>
      <c r="F998" s="17" t="s">
        <v>657</v>
      </c>
      <c r="G998" s="17" t="s">
        <v>655</v>
      </c>
      <c r="H998" s="18">
        <v>2029.0900</v>
      </c>
      <c r="I998" s="18">
        <v>0</v>
      </c>
      <c r="J998" s="18">
        <f ca="1">((J997 + H998) - I998)</f>
        <v>0</v>
      </c>
      <c r="K998" s="18">
        <v>0</v>
      </c>
      <c r="L998" s="19">
        <v>0</v>
      </c>
      <c r="M998" s="17" t="s">
        <v>157</v>
      </c>
    </row>
    <row r="999" ht="21.3" customHeight="true" customFormat="true" s="9">
      <c r="A999" s="16">
        <v>45688</v>
      </c>
      <c r="B999" s="17" t="s">
        <v>648</v>
      </c>
      <c r="C999" s="17" t="s">
        <v>553</v>
      </c>
      <c r="D999" s="17" t="s">
        <v>649</v>
      </c>
      <c r="E999" s="17" t="s">
        <v>339</v>
      </c>
      <c r="F999" s="23" t="s">
        <v>650</v>
      </c>
      <c r="G999" s="17" t="s">
        <v>561</v>
      </c>
      <c r="H999" s="18">
        <v>115303.5700</v>
      </c>
      <c r="I999" s="18">
        <v>0</v>
      </c>
      <c r="J999" s="18">
        <f ca="1">((J998 + H999) - I999)</f>
        <v>0</v>
      </c>
      <c r="K999" s="18">
        <v>0</v>
      </c>
      <c r="L999" s="19">
        <v>0</v>
      </c>
      <c r="M999" s="17" t="s">
        <v>157</v>
      </c>
    </row>
    <row r="1000" ht="10.95" customHeight="true" customFormat="true" s="9">
      <c r="A1000" s="20" t="s">
        <v>658</v>
      </c>
      <c r="B1000" s="20"/>
      <c r="C1000" s="20"/>
      <c r="D1000" s="20"/>
      <c r="E1000" s="20"/>
      <c r="F1000" s="20"/>
      <c r="G1000" s="20"/>
      <c r="H1000" s="21">
        <f ca="1">SUM(H992:H999)</f>
        <v>0</v>
      </c>
      <c r="I1000" s="21">
        <f ca="1">SUM(I992:I999)</f>
        <v>0</v>
      </c>
      <c r="J1000" s="21">
        <f ca="1">J999</f>
        <v>0</v>
      </c>
      <c r="K1000" s="21">
        <f ca="1">SUM(K992:K999)</f>
        <v>0</v>
      </c>
      <c r="L1000" s="20"/>
      <c r="M1000" s="20"/>
    </row>
    <row r="1001" ht="10.95" customHeight="true" customFormat="true" s="9">
      <c r="A1001" s="20" t="s">
        <v>25</v>
      </c>
      <c r="B1001" s="20"/>
      <c r="C1001" s="20"/>
      <c r="D1001" s="20"/>
      <c r="E1001" s="20"/>
      <c r="F1001" s="20"/>
      <c r="G1001" s="20"/>
      <c r="H1001" s="21">
        <v>487691.1300</v>
      </c>
      <c r="I1001" s="21">
        <v>0</v>
      </c>
      <c r="J1001" s="21">
        <v>0</v>
      </c>
      <c r="K1001" s="21">
        <v>0</v>
      </c>
      <c r="L1001" s="20"/>
      <c r="M1001" s="20"/>
    </row>
    <row r="1002" ht="10.95" customHeight="true" customFormat="true" s="9">
      <c r="A1002" s="10" t="s">
        <v>26</v>
      </c>
      <c r="B1002" s="10"/>
      <c r="C1002" s="10"/>
      <c r="D1002" s="10"/>
      <c r="E1002" s="10"/>
      <c r="F1002" s="10"/>
      <c r="G1002" s="10"/>
      <c r="H1002" s="11">
        <v>487691.1300</v>
      </c>
      <c r="I1002" s="11">
        <v>0</v>
      </c>
      <c r="J1002" s="11">
        <f ca="1">J999</f>
        <v>0</v>
      </c>
      <c r="K1002" s="11">
        <v>0</v>
      </c>
      <c r="L1002" s="10"/>
      <c r="M1002" s="10"/>
    </row>
    <row r="1003" ht="13.35" customHeight="true"/>
    <row r="1004" ht="12.1" customHeight="true" customFormat="true" s="5">
      <c r="A1004" s="8" t="s">
        <v>659</v>
      </c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</row>
    <row r="1005" ht="10.95" customHeight="true" customFormat="true" s="9">
      <c r="A1005" s="10" t="s">
        <v>17</v>
      </c>
      <c r="B1005" s="10"/>
      <c r="C1005" s="10"/>
      <c r="D1005" s="10"/>
      <c r="E1005" s="10"/>
      <c r="F1005" s="10"/>
      <c r="G1005" s="10"/>
      <c r="H1005" s="11">
        <v>0</v>
      </c>
      <c r="I1005" s="11">
        <v>0</v>
      </c>
      <c r="J1005" s="11">
        <f ca="1">(H1005 - I1005)</f>
        <v>0</v>
      </c>
      <c r="K1005" s="11">
        <v>0</v>
      </c>
      <c r="L1005" s="10"/>
      <c r="M1005" s="10"/>
    </row>
    <row r="1006" ht="10.95" customHeight="true" customFormat="true" s="9">
      <c r="A1006" s="12">
        <v>45473</v>
      </c>
      <c r="B1006" s="13" t="s">
        <v>660</v>
      </c>
      <c r="C1006" s="13" t="s">
        <v>553</v>
      </c>
      <c r="D1006" s="13" t="s">
        <v>661</v>
      </c>
      <c r="E1006" s="13" t="s">
        <v>339</v>
      </c>
      <c r="F1006" s="13" t="s">
        <v>662</v>
      </c>
      <c r="G1006" s="13" t="s">
        <v>134</v>
      </c>
      <c r="H1006" s="14">
        <v>10838.4800</v>
      </c>
      <c r="I1006" s="14">
        <v>0</v>
      </c>
      <c r="J1006" s="14">
        <f ca="1">((J1005 + H1006) - I1006)</f>
        <v>0</v>
      </c>
      <c r="K1006" s="14">
        <v>0</v>
      </c>
      <c r="L1006" s="15">
        <v>0</v>
      </c>
      <c r="M1006" s="13" t="s">
        <v>157</v>
      </c>
    </row>
    <row r="1007" ht="10.95" customHeight="true" customFormat="true" s="9">
      <c r="A1007" s="16">
        <v>45473</v>
      </c>
      <c r="B1007" s="17" t="s">
        <v>660</v>
      </c>
      <c r="C1007" s="17" t="s">
        <v>553</v>
      </c>
      <c r="D1007" s="17" t="s">
        <v>661</v>
      </c>
      <c r="E1007" s="17" t="s">
        <v>339</v>
      </c>
      <c r="F1007" s="17" t="s">
        <v>663</v>
      </c>
      <c r="G1007" s="17" t="s">
        <v>133</v>
      </c>
      <c r="H1007" s="18">
        <v>149300.0200</v>
      </c>
      <c r="I1007" s="18">
        <v>0</v>
      </c>
      <c r="J1007" s="18">
        <f ca="1">((J1006 + H1007) - I1007)</f>
        <v>0</v>
      </c>
      <c r="K1007" s="18">
        <v>0</v>
      </c>
      <c r="L1007" s="19">
        <v>0</v>
      </c>
      <c r="M1007" s="17" t="s">
        <v>157</v>
      </c>
    </row>
    <row r="1008" ht="31.65" customHeight="true" customFormat="true" s="9">
      <c r="A1008" s="16">
        <v>45626</v>
      </c>
      <c r="B1008" s="17" t="s">
        <v>660</v>
      </c>
      <c r="C1008" s="17" t="s">
        <v>553</v>
      </c>
      <c r="D1008" s="17" t="s">
        <v>661</v>
      </c>
      <c r="E1008" s="17" t="s">
        <v>339</v>
      </c>
      <c r="F1008" s="23" t="s">
        <v>664</v>
      </c>
      <c r="G1008" s="17" t="s">
        <v>623</v>
      </c>
      <c r="H1008" s="18">
        <v>126937.2700</v>
      </c>
      <c r="I1008" s="18">
        <v>0</v>
      </c>
      <c r="J1008" s="18">
        <f ca="1">((J1007 + H1008) - I1008)</f>
        <v>0</v>
      </c>
      <c r="K1008" s="18">
        <v>0</v>
      </c>
      <c r="L1008" s="19">
        <v>0</v>
      </c>
      <c r="M1008" s="17" t="s">
        <v>431</v>
      </c>
    </row>
    <row r="1009" ht="21.3" customHeight="true" customFormat="true" s="9">
      <c r="A1009" s="16">
        <v>45626</v>
      </c>
      <c r="B1009" s="17" t="s">
        <v>660</v>
      </c>
      <c r="C1009" s="17" t="s">
        <v>553</v>
      </c>
      <c r="D1009" s="17" t="s">
        <v>661</v>
      </c>
      <c r="E1009" s="17" t="s">
        <v>339</v>
      </c>
      <c r="F1009" s="23" t="s">
        <v>665</v>
      </c>
      <c r="G1009" s="17" t="s">
        <v>666</v>
      </c>
      <c r="H1009" s="18">
        <v>9215.0500</v>
      </c>
      <c r="I1009" s="18">
        <v>0</v>
      </c>
      <c r="J1009" s="18">
        <f ca="1">((J1008 + H1009) - I1009)</f>
        <v>0</v>
      </c>
      <c r="K1009" s="18">
        <v>0</v>
      </c>
      <c r="L1009" s="19">
        <v>0</v>
      </c>
      <c r="M1009" s="17" t="s">
        <v>431</v>
      </c>
    </row>
    <row r="1010" ht="10.95" customHeight="true" customFormat="true" s="9">
      <c r="A1010" s="20" t="s">
        <v>667</v>
      </c>
      <c r="B1010" s="20"/>
      <c r="C1010" s="20"/>
      <c r="D1010" s="20"/>
      <c r="E1010" s="20"/>
      <c r="F1010" s="20"/>
      <c r="G1010" s="20"/>
      <c r="H1010" s="21">
        <f ca="1">SUM(H1006:H1009)</f>
        <v>0</v>
      </c>
      <c r="I1010" s="21">
        <f ca="1">SUM(I1006:I1009)</f>
        <v>0</v>
      </c>
      <c r="J1010" s="21">
        <f ca="1">J1009</f>
        <v>0</v>
      </c>
      <c r="K1010" s="21">
        <f ca="1">SUM(K1006:K1009)</f>
        <v>0</v>
      </c>
      <c r="L1010" s="20"/>
      <c r="M1010" s="20"/>
    </row>
    <row r="1011" ht="10.95" customHeight="true" customFormat="true" s="9">
      <c r="A1011" s="20" t="s">
        <v>25</v>
      </c>
      <c r="B1011" s="20"/>
      <c r="C1011" s="20"/>
      <c r="D1011" s="20"/>
      <c r="E1011" s="20"/>
      <c r="F1011" s="20"/>
      <c r="G1011" s="20"/>
      <c r="H1011" s="21">
        <v>296290.8200</v>
      </c>
      <c r="I1011" s="21">
        <v>0</v>
      </c>
      <c r="J1011" s="21">
        <v>0</v>
      </c>
      <c r="K1011" s="21">
        <v>0</v>
      </c>
      <c r="L1011" s="20"/>
      <c r="M1011" s="20"/>
    </row>
    <row r="1012" ht="10.95" customHeight="true" customFormat="true" s="9">
      <c r="A1012" s="10" t="s">
        <v>26</v>
      </c>
      <c r="B1012" s="10"/>
      <c r="C1012" s="10"/>
      <c r="D1012" s="10"/>
      <c r="E1012" s="10"/>
      <c r="F1012" s="10"/>
      <c r="G1012" s="10"/>
      <c r="H1012" s="11">
        <v>296290.8200</v>
      </c>
      <c r="I1012" s="11">
        <v>0</v>
      </c>
      <c r="J1012" s="11">
        <f ca="1">J1009</f>
        <v>0</v>
      </c>
      <c r="K1012" s="11">
        <v>0</v>
      </c>
      <c r="L1012" s="10"/>
      <c r="M1012" s="10"/>
    </row>
    <row r="1013" ht="13.35" customHeight="true"/>
    <row r="1014" ht="12.1" customHeight="true" customFormat="true" s="5">
      <c r="A1014" s="8" t="s">
        <v>668</v>
      </c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</row>
    <row r="1015" ht="10.95" customHeight="true" customFormat="true" s="9">
      <c r="A1015" s="10" t="s">
        <v>17</v>
      </c>
      <c r="B1015" s="10"/>
      <c r="C1015" s="10"/>
      <c r="D1015" s="10"/>
      <c r="E1015" s="10"/>
      <c r="F1015" s="10"/>
      <c r="G1015" s="10"/>
      <c r="H1015" s="11">
        <v>0</v>
      </c>
      <c r="I1015" s="11">
        <v>0</v>
      </c>
      <c r="J1015" s="11">
        <f ca="1">(H1015 - I1015)</f>
        <v>0</v>
      </c>
      <c r="K1015" s="11">
        <v>0</v>
      </c>
      <c r="L1015" s="10"/>
      <c r="M1015" s="10"/>
    </row>
    <row r="1016" ht="10.95" customHeight="true" customFormat="true" s="9">
      <c r="A1016" s="12">
        <v>45504</v>
      </c>
      <c r="B1016" s="13" t="s">
        <v>669</v>
      </c>
      <c r="C1016" s="13" t="s">
        <v>553</v>
      </c>
      <c r="D1016" s="13" t="s">
        <v>670</v>
      </c>
      <c r="E1016" s="13" t="s">
        <v>339</v>
      </c>
      <c r="F1016" s="13" t="s">
        <v>671</v>
      </c>
      <c r="G1016" s="13" t="s">
        <v>137</v>
      </c>
      <c r="H1016" s="14">
        <v>6584.0100</v>
      </c>
      <c r="I1016" s="14">
        <v>0</v>
      </c>
      <c r="J1016" s="14">
        <f ca="1">((J1015 + H1016) - I1016)</f>
        <v>0</v>
      </c>
      <c r="K1016" s="14">
        <v>0</v>
      </c>
      <c r="L1016" s="15">
        <v>0</v>
      </c>
      <c r="M1016" s="13" t="s">
        <v>157</v>
      </c>
    </row>
    <row r="1017" ht="10.95" customHeight="true" customFormat="true" s="9">
      <c r="A1017" s="16">
        <v>45504</v>
      </c>
      <c r="B1017" s="17" t="s">
        <v>669</v>
      </c>
      <c r="C1017" s="17" t="s">
        <v>553</v>
      </c>
      <c r="D1017" s="17" t="s">
        <v>670</v>
      </c>
      <c r="E1017" s="17" t="s">
        <v>339</v>
      </c>
      <c r="F1017" s="17" t="s">
        <v>672</v>
      </c>
      <c r="G1017" s="17" t="s">
        <v>137</v>
      </c>
      <c r="H1017" s="18">
        <v>1678.9200</v>
      </c>
      <c r="I1017" s="18">
        <v>0</v>
      </c>
      <c r="J1017" s="18">
        <f ca="1">((J1016 + H1017) - I1017)</f>
        <v>0</v>
      </c>
      <c r="K1017" s="18">
        <v>0</v>
      </c>
      <c r="L1017" s="19">
        <v>0</v>
      </c>
      <c r="M1017" s="17" t="s">
        <v>157</v>
      </c>
    </row>
    <row r="1018" ht="10.95" customHeight="true" customFormat="true" s="9">
      <c r="A1018" s="16">
        <v>45504</v>
      </c>
      <c r="B1018" s="17" t="s">
        <v>669</v>
      </c>
      <c r="C1018" s="17" t="s">
        <v>553</v>
      </c>
      <c r="D1018" s="17" t="s">
        <v>670</v>
      </c>
      <c r="E1018" s="17" t="s">
        <v>339</v>
      </c>
      <c r="F1018" s="17" t="s">
        <v>673</v>
      </c>
      <c r="G1018" s="17" t="s">
        <v>136</v>
      </c>
      <c r="H1018" s="18">
        <v>54811.8700</v>
      </c>
      <c r="I1018" s="18">
        <v>0</v>
      </c>
      <c r="J1018" s="18">
        <f ca="1">((J1017 + H1018) - I1018)</f>
        <v>0</v>
      </c>
      <c r="K1018" s="18">
        <v>0</v>
      </c>
      <c r="L1018" s="19">
        <v>0</v>
      </c>
      <c r="M1018" s="17" t="s">
        <v>157</v>
      </c>
    </row>
    <row r="1019" ht="10.95" customHeight="true" customFormat="true" s="9">
      <c r="A1019" s="16">
        <v>45565</v>
      </c>
      <c r="B1019" s="17" t="s">
        <v>669</v>
      </c>
      <c r="C1019" s="17" t="s">
        <v>553</v>
      </c>
      <c r="D1019" s="17" t="s">
        <v>670</v>
      </c>
      <c r="E1019" s="17" t="s">
        <v>339</v>
      </c>
      <c r="F1019" s="17" t="s">
        <v>674</v>
      </c>
      <c r="G1019" s="17" t="s">
        <v>602</v>
      </c>
      <c r="H1019" s="18">
        <v>20474.8000</v>
      </c>
      <c r="I1019" s="18">
        <v>0</v>
      </c>
      <c r="J1019" s="18">
        <f ca="1">((J1018 + H1019) - I1019)</f>
        <v>0</v>
      </c>
      <c r="K1019" s="18">
        <v>0</v>
      </c>
      <c r="L1019" s="19">
        <v>0</v>
      </c>
      <c r="M1019" s="17" t="s">
        <v>157</v>
      </c>
    </row>
    <row r="1020" ht="31.65" customHeight="true" customFormat="true" s="9">
      <c r="A1020" s="16">
        <v>45565</v>
      </c>
      <c r="B1020" s="17" t="s">
        <v>669</v>
      </c>
      <c r="C1020" s="17" t="s">
        <v>553</v>
      </c>
      <c r="D1020" s="17" t="s">
        <v>670</v>
      </c>
      <c r="E1020" s="17" t="s">
        <v>339</v>
      </c>
      <c r="F1020" s="23" t="s">
        <v>675</v>
      </c>
      <c r="G1020" s="17" t="s">
        <v>676</v>
      </c>
      <c r="H1020" s="18">
        <v>2459.4300</v>
      </c>
      <c r="I1020" s="18">
        <v>0</v>
      </c>
      <c r="J1020" s="18">
        <f ca="1">((J1019 + H1020) - I1020)</f>
        <v>0</v>
      </c>
      <c r="K1020" s="18">
        <v>0</v>
      </c>
      <c r="L1020" s="19">
        <v>0</v>
      </c>
      <c r="M1020" s="17" t="s">
        <v>157</v>
      </c>
    </row>
    <row r="1021" ht="10.95" customHeight="true" customFormat="true" s="9">
      <c r="A1021" s="16">
        <v>45565</v>
      </c>
      <c r="B1021" s="17" t="s">
        <v>669</v>
      </c>
      <c r="C1021" s="17" t="s">
        <v>553</v>
      </c>
      <c r="D1021" s="17" t="s">
        <v>670</v>
      </c>
      <c r="E1021" s="17" t="s">
        <v>339</v>
      </c>
      <c r="F1021" s="17" t="s">
        <v>672</v>
      </c>
      <c r="G1021" s="17" t="s">
        <v>676</v>
      </c>
      <c r="H1021" s="18">
        <v>627.1600</v>
      </c>
      <c r="I1021" s="18">
        <v>0</v>
      </c>
      <c r="J1021" s="18">
        <f ca="1">((J1020 + H1021) - I1021)</f>
        <v>0</v>
      </c>
      <c r="K1021" s="18">
        <v>0</v>
      </c>
      <c r="L1021" s="19">
        <v>0</v>
      </c>
      <c r="M1021" s="17" t="s">
        <v>157</v>
      </c>
    </row>
    <row r="1022" ht="10.95" customHeight="true" customFormat="true" s="9">
      <c r="A1022" s="20" t="s">
        <v>677</v>
      </c>
      <c r="B1022" s="20"/>
      <c r="C1022" s="20"/>
      <c r="D1022" s="20"/>
      <c r="E1022" s="20"/>
      <c r="F1022" s="20"/>
      <c r="G1022" s="20"/>
      <c r="H1022" s="21">
        <f ca="1">SUM(H1016:H1021)</f>
        <v>0</v>
      </c>
      <c r="I1022" s="21">
        <f ca="1">SUM(I1016:I1021)</f>
        <v>0</v>
      </c>
      <c r="J1022" s="21">
        <f ca="1">J1021</f>
        <v>0</v>
      </c>
      <c r="K1022" s="21">
        <f ca="1">SUM(K1016:K1021)</f>
        <v>0</v>
      </c>
      <c r="L1022" s="20"/>
      <c r="M1022" s="20"/>
    </row>
    <row r="1023" ht="10.95" customHeight="true" customFormat="true" s="9">
      <c r="A1023" s="20" t="s">
        <v>25</v>
      </c>
      <c r="B1023" s="20"/>
      <c r="C1023" s="20"/>
      <c r="D1023" s="20"/>
      <c r="E1023" s="20"/>
      <c r="F1023" s="20"/>
      <c r="G1023" s="20"/>
      <c r="H1023" s="21">
        <v>86636.1900</v>
      </c>
      <c r="I1023" s="21">
        <v>0</v>
      </c>
      <c r="J1023" s="21">
        <v>0</v>
      </c>
      <c r="K1023" s="21">
        <v>0</v>
      </c>
      <c r="L1023" s="20"/>
      <c r="M1023" s="20"/>
    </row>
    <row r="1024" ht="10.95" customHeight="true" customFormat="true" s="9">
      <c r="A1024" s="10" t="s">
        <v>26</v>
      </c>
      <c r="B1024" s="10"/>
      <c r="C1024" s="10"/>
      <c r="D1024" s="10"/>
      <c r="E1024" s="10"/>
      <c r="F1024" s="10"/>
      <c r="G1024" s="10"/>
      <c r="H1024" s="11">
        <v>86636.1900</v>
      </c>
      <c r="I1024" s="11">
        <v>0</v>
      </c>
      <c r="J1024" s="11">
        <f ca="1">J1021</f>
        <v>0</v>
      </c>
      <c r="K1024" s="11">
        <v>0</v>
      </c>
      <c r="L1024" s="10"/>
      <c r="M1024" s="10"/>
    </row>
    <row r="1025" ht="13.35" customHeight="true"/>
    <row r="1026" ht="12.1" customHeight="true" customFormat="true" s="5">
      <c r="A1026" s="8" t="s">
        <v>678</v>
      </c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</row>
    <row r="1027" ht="10.95" customHeight="true" customFormat="true" s="9">
      <c r="A1027" s="10" t="s">
        <v>17</v>
      </c>
      <c r="B1027" s="10"/>
      <c r="C1027" s="10"/>
      <c r="D1027" s="10"/>
      <c r="E1027" s="10"/>
      <c r="F1027" s="10"/>
      <c r="G1027" s="10"/>
      <c r="H1027" s="11">
        <v>0</v>
      </c>
      <c r="I1027" s="11">
        <v>0</v>
      </c>
      <c r="J1027" s="11">
        <f ca="1">(H1027 - I1027)</f>
        <v>0</v>
      </c>
      <c r="K1027" s="11">
        <v>0</v>
      </c>
      <c r="L1027" s="10"/>
      <c r="M1027" s="10"/>
    </row>
    <row r="1028" ht="10.95" customHeight="true" customFormat="true" s="9">
      <c r="A1028" s="12">
        <v>45535</v>
      </c>
      <c r="B1028" s="13" t="s">
        <v>679</v>
      </c>
      <c r="C1028" s="13" t="s">
        <v>553</v>
      </c>
      <c r="D1028" s="13" t="s">
        <v>680</v>
      </c>
      <c r="E1028" s="13" t="s">
        <v>339</v>
      </c>
      <c r="F1028" s="13" t="s">
        <v>681</v>
      </c>
      <c r="G1028" s="13" t="s">
        <v>138</v>
      </c>
      <c r="H1028" s="14">
        <v>109784.8400</v>
      </c>
      <c r="I1028" s="14">
        <v>0</v>
      </c>
      <c r="J1028" s="14">
        <f ca="1">((J1027 + H1028) - I1028)</f>
        <v>0</v>
      </c>
      <c r="K1028" s="14">
        <v>0</v>
      </c>
      <c r="L1028" s="15">
        <v>0</v>
      </c>
      <c r="M1028" s="13" t="s">
        <v>157</v>
      </c>
    </row>
    <row r="1029" ht="10.95" customHeight="true" customFormat="true" s="9">
      <c r="A1029" s="16">
        <v>45535</v>
      </c>
      <c r="B1029" s="17" t="s">
        <v>679</v>
      </c>
      <c r="C1029" s="17" t="s">
        <v>553</v>
      </c>
      <c r="D1029" s="17" t="s">
        <v>680</v>
      </c>
      <c r="E1029" s="17" t="s">
        <v>339</v>
      </c>
      <c r="F1029" s="17" t="s">
        <v>682</v>
      </c>
      <c r="G1029" s="17" t="s">
        <v>139</v>
      </c>
      <c r="H1029" s="18">
        <v>3732.5700</v>
      </c>
      <c r="I1029" s="18">
        <v>0</v>
      </c>
      <c r="J1029" s="18">
        <f ca="1">((J1028 + H1029) - I1029)</f>
        <v>0</v>
      </c>
      <c r="K1029" s="18">
        <v>0</v>
      </c>
      <c r="L1029" s="19">
        <v>0</v>
      </c>
      <c r="M1029" s="17" t="s">
        <v>157</v>
      </c>
    </row>
    <row r="1030" ht="10.95" customHeight="true" customFormat="true" s="9">
      <c r="A1030" s="16">
        <v>45535</v>
      </c>
      <c r="B1030" s="17" t="s">
        <v>679</v>
      </c>
      <c r="C1030" s="17" t="s">
        <v>553</v>
      </c>
      <c r="D1030" s="17" t="s">
        <v>680</v>
      </c>
      <c r="E1030" s="17" t="s">
        <v>339</v>
      </c>
      <c r="F1030" s="17" t="s">
        <v>683</v>
      </c>
      <c r="G1030" s="17" t="s">
        <v>139</v>
      </c>
      <c r="H1030" s="18">
        <v>2962.3500</v>
      </c>
      <c r="I1030" s="18">
        <v>0</v>
      </c>
      <c r="J1030" s="18">
        <f ca="1">((J1029 + H1030) - I1030)</f>
        <v>0</v>
      </c>
      <c r="K1030" s="18">
        <v>0</v>
      </c>
      <c r="L1030" s="19">
        <v>0</v>
      </c>
      <c r="M1030" s="17" t="s">
        <v>157</v>
      </c>
    </row>
    <row r="1031" ht="10.95" customHeight="true" customFormat="true" s="9">
      <c r="A1031" s="16">
        <v>45535</v>
      </c>
      <c r="B1031" s="17" t="s">
        <v>679</v>
      </c>
      <c r="C1031" s="17" t="s">
        <v>553</v>
      </c>
      <c r="D1031" s="17" t="s">
        <v>680</v>
      </c>
      <c r="E1031" s="17" t="s">
        <v>339</v>
      </c>
      <c r="F1031" s="17" t="s">
        <v>684</v>
      </c>
      <c r="G1031" s="17" t="s">
        <v>139</v>
      </c>
      <c r="H1031" s="18">
        <v>2962.3500</v>
      </c>
      <c r="I1031" s="18">
        <v>0</v>
      </c>
      <c r="J1031" s="18">
        <f ca="1">((J1030 + H1031) - I1031)</f>
        <v>0</v>
      </c>
      <c r="K1031" s="18">
        <v>0</v>
      </c>
      <c r="L1031" s="19">
        <v>0</v>
      </c>
      <c r="M1031" s="17" t="s">
        <v>157</v>
      </c>
    </row>
    <row r="1032" ht="10.95" customHeight="true" customFormat="true" s="9">
      <c r="A1032" s="16">
        <v>45535</v>
      </c>
      <c r="B1032" s="17" t="s">
        <v>679</v>
      </c>
      <c r="C1032" s="17" t="s">
        <v>553</v>
      </c>
      <c r="D1032" s="17" t="s">
        <v>680</v>
      </c>
      <c r="E1032" s="17" t="s">
        <v>339</v>
      </c>
      <c r="F1032" s="17" t="s">
        <v>685</v>
      </c>
      <c r="G1032" s="17" t="s">
        <v>139</v>
      </c>
      <c r="H1032" s="18">
        <v>3228.9700</v>
      </c>
      <c r="I1032" s="18">
        <v>0</v>
      </c>
      <c r="J1032" s="18">
        <f ca="1">((J1031 + H1032) - I1032)</f>
        <v>0</v>
      </c>
      <c r="K1032" s="18">
        <v>0</v>
      </c>
      <c r="L1032" s="19">
        <v>0</v>
      </c>
      <c r="M1032" s="17" t="s">
        <v>157</v>
      </c>
    </row>
    <row r="1033" ht="10.95" customHeight="true" customFormat="true" s="9">
      <c r="A1033" s="20" t="s">
        <v>686</v>
      </c>
      <c r="B1033" s="20"/>
      <c r="C1033" s="20"/>
      <c r="D1033" s="20"/>
      <c r="E1033" s="20"/>
      <c r="F1033" s="20"/>
      <c r="G1033" s="20"/>
      <c r="H1033" s="21">
        <f ca="1">SUM(H1028:H1032)</f>
        <v>0</v>
      </c>
      <c r="I1033" s="21">
        <f ca="1">SUM(I1028:I1032)</f>
        <v>0</v>
      </c>
      <c r="J1033" s="21">
        <f ca="1">J1032</f>
        <v>0</v>
      </c>
      <c r="K1033" s="21">
        <f ca="1">SUM(K1028:K1032)</f>
        <v>0</v>
      </c>
      <c r="L1033" s="20"/>
      <c r="M1033" s="20"/>
    </row>
    <row r="1034" ht="10.95" customHeight="true" customFormat="true" s="9">
      <c r="A1034" s="20" t="s">
        <v>25</v>
      </c>
      <c r="B1034" s="20"/>
      <c r="C1034" s="20"/>
      <c r="D1034" s="20"/>
      <c r="E1034" s="20"/>
      <c r="F1034" s="20"/>
      <c r="G1034" s="20"/>
      <c r="H1034" s="21">
        <v>122671.0800</v>
      </c>
      <c r="I1034" s="21">
        <v>0</v>
      </c>
      <c r="J1034" s="21">
        <v>0</v>
      </c>
      <c r="K1034" s="21">
        <v>0</v>
      </c>
      <c r="L1034" s="20"/>
      <c r="M1034" s="20"/>
    </row>
    <row r="1035" ht="10.95" customHeight="true" customFormat="true" s="9">
      <c r="A1035" s="10" t="s">
        <v>26</v>
      </c>
      <c r="B1035" s="10"/>
      <c r="C1035" s="10"/>
      <c r="D1035" s="10"/>
      <c r="E1035" s="10"/>
      <c r="F1035" s="10"/>
      <c r="G1035" s="10"/>
      <c r="H1035" s="11">
        <v>122671.0800</v>
      </c>
      <c r="I1035" s="11">
        <v>0</v>
      </c>
      <c r="J1035" s="11">
        <f ca="1">J1032</f>
        <v>0</v>
      </c>
      <c r="K1035" s="11">
        <v>0</v>
      </c>
      <c r="L1035" s="10"/>
      <c r="M1035" s="10"/>
    </row>
    <row r="1036" ht="13.35" customHeight="true"/>
    <row r="1037" ht="12.1" customHeight="true" customFormat="true" s="5">
      <c r="A1037" s="8" t="s">
        <v>687</v>
      </c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</row>
    <row r="1038" ht="10.95" customHeight="true" customFormat="true" s="9">
      <c r="A1038" s="10" t="s">
        <v>17</v>
      </c>
      <c r="B1038" s="10"/>
      <c r="C1038" s="10"/>
      <c r="D1038" s="10"/>
      <c r="E1038" s="10"/>
      <c r="F1038" s="10"/>
      <c r="G1038" s="10"/>
      <c r="H1038" s="11">
        <v>0</v>
      </c>
      <c r="I1038" s="11">
        <v>0</v>
      </c>
      <c r="J1038" s="11">
        <f ca="1">(H1038 - I1038)</f>
        <v>0</v>
      </c>
      <c r="K1038" s="11">
        <v>0</v>
      </c>
      <c r="L1038" s="10"/>
      <c r="M1038" s="10"/>
    </row>
    <row r="1039" ht="10.95" customHeight="true" customFormat="true" s="9">
      <c r="A1039" s="12">
        <v>45535</v>
      </c>
      <c r="B1039" s="13" t="s">
        <v>688</v>
      </c>
      <c r="C1039" s="13" t="s">
        <v>553</v>
      </c>
      <c r="D1039" s="13" t="s">
        <v>689</v>
      </c>
      <c r="E1039" s="13" t="s">
        <v>339</v>
      </c>
      <c r="F1039" s="13" t="s">
        <v>690</v>
      </c>
      <c r="G1039" s="13" t="s">
        <v>691</v>
      </c>
      <c r="H1039" s="14">
        <v>200.2900</v>
      </c>
      <c r="I1039" s="14">
        <v>0</v>
      </c>
      <c r="J1039" s="14">
        <f ca="1">((J1038 + H1039) - I1039)</f>
        <v>0</v>
      </c>
      <c r="K1039" s="14">
        <v>0</v>
      </c>
      <c r="L1039" s="15">
        <v>0</v>
      </c>
      <c r="M1039" s="13" t="s">
        <v>157</v>
      </c>
    </row>
    <row r="1040" ht="10.95" customHeight="true" customFormat="true" s="9">
      <c r="A1040" s="16">
        <v>45535</v>
      </c>
      <c r="B1040" s="17" t="s">
        <v>688</v>
      </c>
      <c r="C1040" s="17" t="s">
        <v>553</v>
      </c>
      <c r="D1040" s="17" t="s">
        <v>689</v>
      </c>
      <c r="E1040" s="17" t="s">
        <v>339</v>
      </c>
      <c r="F1040" s="17" t="s">
        <v>692</v>
      </c>
      <c r="G1040" s="17" t="s">
        <v>691</v>
      </c>
      <c r="H1040" s="18">
        <v>152.9900</v>
      </c>
      <c r="I1040" s="18">
        <v>0</v>
      </c>
      <c r="J1040" s="18">
        <f ca="1">((J1039 + H1040) - I1040)</f>
        <v>0</v>
      </c>
      <c r="K1040" s="18">
        <v>0</v>
      </c>
      <c r="L1040" s="19">
        <v>0</v>
      </c>
      <c r="M1040" s="17" t="s">
        <v>157</v>
      </c>
    </row>
    <row r="1041" ht="10.95" customHeight="true" customFormat="true" s="9">
      <c r="A1041" s="16">
        <v>45535</v>
      </c>
      <c r="B1041" s="17" t="s">
        <v>688</v>
      </c>
      <c r="C1041" s="17" t="s">
        <v>553</v>
      </c>
      <c r="D1041" s="17" t="s">
        <v>689</v>
      </c>
      <c r="E1041" s="17" t="s">
        <v>339</v>
      </c>
      <c r="F1041" s="17" t="s">
        <v>693</v>
      </c>
      <c r="G1041" s="17" t="s">
        <v>691</v>
      </c>
      <c r="H1041" s="18">
        <v>153.0000</v>
      </c>
      <c r="I1041" s="18">
        <v>0</v>
      </c>
      <c r="J1041" s="18">
        <f ca="1">((J1040 + H1041) - I1041)</f>
        <v>0</v>
      </c>
      <c r="K1041" s="18">
        <v>0</v>
      </c>
      <c r="L1041" s="19">
        <v>0</v>
      </c>
      <c r="M1041" s="17" t="s">
        <v>157</v>
      </c>
    </row>
    <row r="1042" ht="10.95" customHeight="true" customFormat="true" s="9">
      <c r="A1042" s="16">
        <v>45535</v>
      </c>
      <c r="B1042" s="17" t="s">
        <v>688</v>
      </c>
      <c r="C1042" s="17" t="s">
        <v>553</v>
      </c>
      <c r="D1042" s="17" t="s">
        <v>689</v>
      </c>
      <c r="E1042" s="17" t="s">
        <v>339</v>
      </c>
      <c r="F1042" s="17" t="s">
        <v>694</v>
      </c>
      <c r="G1042" s="17" t="s">
        <v>691</v>
      </c>
      <c r="H1042" s="18">
        <v>458.9900</v>
      </c>
      <c r="I1042" s="18">
        <v>0</v>
      </c>
      <c r="J1042" s="18">
        <f ca="1">((J1041 + H1042) - I1042)</f>
        <v>0</v>
      </c>
      <c r="K1042" s="18">
        <v>0</v>
      </c>
      <c r="L1042" s="19">
        <v>0</v>
      </c>
      <c r="M1042" s="17" t="s">
        <v>157</v>
      </c>
    </row>
    <row r="1043" ht="10.95" customHeight="true" customFormat="true" s="9">
      <c r="A1043" s="16">
        <v>45535</v>
      </c>
      <c r="B1043" s="17" t="s">
        <v>688</v>
      </c>
      <c r="C1043" s="17" t="s">
        <v>553</v>
      </c>
      <c r="D1043" s="17" t="s">
        <v>689</v>
      </c>
      <c r="E1043" s="17" t="s">
        <v>339</v>
      </c>
      <c r="F1043" s="17" t="s">
        <v>695</v>
      </c>
      <c r="G1043" s="17" t="s">
        <v>691</v>
      </c>
      <c r="H1043" s="18">
        <v>556.5500</v>
      </c>
      <c r="I1043" s="18">
        <v>0</v>
      </c>
      <c r="J1043" s="18">
        <f ca="1">((J1042 + H1043) - I1043)</f>
        <v>0</v>
      </c>
      <c r="K1043" s="18">
        <v>0</v>
      </c>
      <c r="L1043" s="19">
        <v>0</v>
      </c>
      <c r="M1043" s="17" t="s">
        <v>157</v>
      </c>
    </row>
    <row r="1044" ht="10.95" customHeight="true" customFormat="true" s="9">
      <c r="A1044" s="16">
        <v>45535</v>
      </c>
      <c r="B1044" s="17" t="s">
        <v>688</v>
      </c>
      <c r="C1044" s="17" t="s">
        <v>553</v>
      </c>
      <c r="D1044" s="17" t="s">
        <v>689</v>
      </c>
      <c r="E1044" s="17" t="s">
        <v>339</v>
      </c>
      <c r="F1044" s="17" t="s">
        <v>696</v>
      </c>
      <c r="G1044" s="17" t="s">
        <v>691</v>
      </c>
      <c r="H1044" s="18">
        <v>286.0400</v>
      </c>
      <c r="I1044" s="18">
        <v>0</v>
      </c>
      <c r="J1044" s="18">
        <f ca="1">((J1043 + H1044) - I1044)</f>
        <v>0</v>
      </c>
      <c r="K1044" s="18">
        <v>0</v>
      </c>
      <c r="L1044" s="19">
        <v>0</v>
      </c>
      <c r="M1044" s="17" t="s">
        <v>157</v>
      </c>
    </row>
    <row r="1045" ht="10.95" customHeight="true" customFormat="true" s="9">
      <c r="A1045" s="16">
        <v>45535</v>
      </c>
      <c r="B1045" s="17" t="s">
        <v>688</v>
      </c>
      <c r="C1045" s="17" t="s">
        <v>553</v>
      </c>
      <c r="D1045" s="17" t="s">
        <v>689</v>
      </c>
      <c r="E1045" s="17" t="s">
        <v>339</v>
      </c>
      <c r="F1045" s="17" t="s">
        <v>697</v>
      </c>
      <c r="G1045" s="17" t="s">
        <v>698</v>
      </c>
      <c r="H1045" s="18">
        <v>269.0400</v>
      </c>
      <c r="I1045" s="18">
        <v>0</v>
      </c>
      <c r="J1045" s="18">
        <f ca="1">((J1044 + H1045) - I1045)</f>
        <v>0</v>
      </c>
      <c r="K1045" s="18">
        <v>0</v>
      </c>
      <c r="L1045" s="19">
        <v>0</v>
      </c>
      <c r="M1045" s="17" t="s">
        <v>157</v>
      </c>
    </row>
    <row r="1046" ht="10.95" customHeight="true" customFormat="true" s="9">
      <c r="A1046" s="20" t="s">
        <v>699</v>
      </c>
      <c r="B1046" s="20"/>
      <c r="C1046" s="20"/>
      <c r="D1046" s="20"/>
      <c r="E1046" s="20"/>
      <c r="F1046" s="20"/>
      <c r="G1046" s="20"/>
      <c r="H1046" s="21">
        <f ca="1">SUM(H1039:H1045)</f>
        <v>0</v>
      </c>
      <c r="I1046" s="21">
        <f ca="1">SUM(I1039:I1045)</f>
        <v>0</v>
      </c>
      <c r="J1046" s="21">
        <f ca="1">J1045</f>
        <v>0</v>
      </c>
      <c r="K1046" s="21">
        <f ca="1">SUM(K1039:K1045)</f>
        <v>0</v>
      </c>
      <c r="L1046" s="20"/>
      <c r="M1046" s="20"/>
    </row>
    <row r="1047" ht="10.95" customHeight="true" customFormat="true" s="9">
      <c r="A1047" s="20" t="s">
        <v>25</v>
      </c>
      <c r="B1047" s="20"/>
      <c r="C1047" s="20"/>
      <c r="D1047" s="20"/>
      <c r="E1047" s="20"/>
      <c r="F1047" s="20"/>
      <c r="G1047" s="20"/>
      <c r="H1047" s="21">
        <v>2076.9000</v>
      </c>
      <c r="I1047" s="21">
        <v>0</v>
      </c>
      <c r="J1047" s="21">
        <v>0</v>
      </c>
      <c r="K1047" s="21">
        <v>0</v>
      </c>
      <c r="L1047" s="20"/>
      <c r="M1047" s="20"/>
    </row>
    <row r="1048" ht="10.95" customHeight="true" customFormat="true" s="9">
      <c r="A1048" s="10" t="s">
        <v>26</v>
      </c>
      <c r="B1048" s="10"/>
      <c r="C1048" s="10"/>
      <c r="D1048" s="10"/>
      <c r="E1048" s="10"/>
      <c r="F1048" s="10"/>
      <c r="G1048" s="10"/>
      <c r="H1048" s="11">
        <v>2076.9000</v>
      </c>
      <c r="I1048" s="11">
        <v>0</v>
      </c>
      <c r="J1048" s="11">
        <f ca="1">J1045</f>
        <v>0</v>
      </c>
      <c r="K1048" s="11">
        <v>0</v>
      </c>
      <c r="L1048" s="10"/>
      <c r="M1048" s="10"/>
    </row>
    <row r="1049" ht="13.35" customHeight="true"/>
    <row r="1050" ht="12.1" customHeight="true" customFormat="true" s="5">
      <c r="A1050" s="8" t="s">
        <v>700</v>
      </c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</row>
    <row r="1051" ht="10.95" customHeight="true" customFormat="true" s="9">
      <c r="A1051" s="10" t="s">
        <v>17</v>
      </c>
      <c r="B1051" s="10"/>
      <c r="C1051" s="10"/>
      <c r="D1051" s="10"/>
      <c r="E1051" s="10"/>
      <c r="F1051" s="10"/>
      <c r="G1051" s="10"/>
      <c r="H1051" s="11">
        <v>1247309.3600</v>
      </c>
      <c r="I1051" s="11">
        <v>0</v>
      </c>
      <c r="J1051" s="11">
        <f ca="1">(H1051 - I1051)</f>
        <v>0</v>
      </c>
      <c r="K1051" s="11">
        <v>0</v>
      </c>
      <c r="L1051" s="10"/>
      <c r="M1051" s="10"/>
    </row>
    <row r="1052" ht="10.95" customHeight="true" customFormat="true" s="9">
      <c r="A1052" s="12">
        <v>45394</v>
      </c>
      <c r="B1052" s="13" t="s">
        <v>701</v>
      </c>
      <c r="C1052" s="13" t="s">
        <v>702</v>
      </c>
      <c r="D1052" s="13" t="s">
        <v>703</v>
      </c>
      <c r="E1052" s="13" t="s">
        <v>70</v>
      </c>
      <c r="F1052" s="13" t="s">
        <v>71</v>
      </c>
      <c r="G1052" s="13" t="s">
        <v>72</v>
      </c>
      <c r="H1052" s="14">
        <v>0</v>
      </c>
      <c r="I1052" s="14">
        <v>255780.4200</v>
      </c>
      <c r="J1052" s="14">
        <f ca="1">((J1051 + H1052) - I1052)</f>
        <v>0</v>
      </c>
      <c r="K1052" s="14">
        <v>0</v>
      </c>
      <c r="L1052" s="15">
        <v>0</v>
      </c>
      <c r="M1052" s="13"/>
    </row>
    <row r="1053" ht="10.95" customHeight="true" customFormat="true" s="9">
      <c r="A1053" s="16">
        <v>45412</v>
      </c>
      <c r="B1053" s="17" t="s">
        <v>701</v>
      </c>
      <c r="C1053" s="17" t="s">
        <v>702</v>
      </c>
      <c r="D1053" s="17" t="s">
        <v>703</v>
      </c>
      <c r="E1053" s="17" t="s">
        <v>163</v>
      </c>
      <c r="F1053" s="17" t="s">
        <v>704</v>
      </c>
      <c r="G1053" s="17" t="s">
        <v>75</v>
      </c>
      <c r="H1053" s="18">
        <v>46160.7300</v>
      </c>
      <c r="I1053" s="18">
        <v>0</v>
      </c>
      <c r="J1053" s="18">
        <f ca="1">((J1052 + H1053) - I1053)</f>
        <v>0</v>
      </c>
      <c r="K1053" s="18">
        <v>0</v>
      </c>
      <c r="L1053" s="19">
        <v>0</v>
      </c>
      <c r="M1053" s="17"/>
    </row>
    <row r="1054" ht="10.95" customHeight="true" customFormat="true" s="9">
      <c r="A1054" s="16">
        <v>45414</v>
      </c>
      <c r="B1054" s="17" t="s">
        <v>701</v>
      </c>
      <c r="C1054" s="17" t="s">
        <v>702</v>
      </c>
      <c r="D1054" s="17" t="s">
        <v>703</v>
      </c>
      <c r="E1054" s="17" t="s">
        <v>70</v>
      </c>
      <c r="F1054" s="17" t="s">
        <v>71</v>
      </c>
      <c r="G1054" s="17" t="s">
        <v>73</v>
      </c>
      <c r="H1054" s="18">
        <v>0</v>
      </c>
      <c r="I1054" s="18">
        <v>157890.8700</v>
      </c>
      <c r="J1054" s="18">
        <f ca="1">((J1053 + H1054) - I1054)</f>
        <v>0</v>
      </c>
      <c r="K1054" s="18">
        <v>0</v>
      </c>
      <c r="L1054" s="19">
        <v>0</v>
      </c>
      <c r="M1054" s="17"/>
    </row>
    <row r="1055" ht="10.95" customHeight="true" customFormat="true" s="9">
      <c r="A1055" s="16">
        <v>45414</v>
      </c>
      <c r="B1055" s="17" t="s">
        <v>701</v>
      </c>
      <c r="C1055" s="17" t="s">
        <v>702</v>
      </c>
      <c r="D1055" s="17" t="s">
        <v>703</v>
      </c>
      <c r="E1055" s="17" t="s">
        <v>70</v>
      </c>
      <c r="F1055" s="17" t="s">
        <v>74</v>
      </c>
      <c r="G1055" s="17" t="s">
        <v>75</v>
      </c>
      <c r="H1055" s="18">
        <v>0</v>
      </c>
      <c r="I1055" s="18">
        <v>46160.7300</v>
      </c>
      <c r="J1055" s="18">
        <f ca="1">((J1054 + H1055) - I1055)</f>
        <v>0</v>
      </c>
      <c r="K1055" s="18">
        <v>0</v>
      </c>
      <c r="L1055" s="19">
        <v>0</v>
      </c>
      <c r="M1055" s="17"/>
    </row>
    <row r="1056" ht="10.95" customHeight="true" customFormat="true" s="9">
      <c r="A1056" s="16">
        <v>45443</v>
      </c>
      <c r="B1056" s="17" t="s">
        <v>701</v>
      </c>
      <c r="C1056" s="17" t="s">
        <v>702</v>
      </c>
      <c r="D1056" s="17" t="s">
        <v>703</v>
      </c>
      <c r="E1056" s="17" t="s">
        <v>70</v>
      </c>
      <c r="F1056" s="17" t="s">
        <v>71</v>
      </c>
      <c r="G1056" s="17" t="s">
        <v>81</v>
      </c>
      <c r="H1056" s="18">
        <v>0</v>
      </c>
      <c r="I1056" s="18">
        <v>182772.8500</v>
      </c>
      <c r="J1056" s="18">
        <f ca="1">((J1055 + H1056) - I1056)</f>
        <v>0</v>
      </c>
      <c r="K1056" s="18">
        <v>0</v>
      </c>
      <c r="L1056" s="19">
        <v>0</v>
      </c>
      <c r="M1056" s="17"/>
    </row>
    <row r="1057" ht="10.95" customHeight="true" customFormat="true" s="9">
      <c r="A1057" s="16">
        <v>45443</v>
      </c>
      <c r="B1057" s="17" t="s">
        <v>701</v>
      </c>
      <c r="C1057" s="17" t="s">
        <v>702</v>
      </c>
      <c r="D1057" s="17" t="s">
        <v>703</v>
      </c>
      <c r="E1057" s="17" t="s">
        <v>163</v>
      </c>
      <c r="F1057" s="17" t="s">
        <v>84</v>
      </c>
      <c r="G1057" s="17" t="s">
        <v>90</v>
      </c>
      <c r="H1057" s="18">
        <v>73415.6600</v>
      </c>
      <c r="I1057" s="18">
        <v>0</v>
      </c>
      <c r="J1057" s="18">
        <f ca="1">((J1056 + H1057) - I1057)</f>
        <v>0</v>
      </c>
      <c r="K1057" s="18">
        <v>0</v>
      </c>
      <c r="L1057" s="19">
        <v>0</v>
      </c>
      <c r="M1057" s="17"/>
    </row>
    <row r="1058" ht="10.95" customHeight="true" customFormat="true" s="9">
      <c r="A1058" s="16">
        <v>45443</v>
      </c>
      <c r="B1058" s="17" t="s">
        <v>701</v>
      </c>
      <c r="C1058" s="17" t="s">
        <v>702</v>
      </c>
      <c r="D1058" s="17" t="s">
        <v>703</v>
      </c>
      <c r="E1058" s="17" t="s">
        <v>163</v>
      </c>
      <c r="F1058" s="17" t="s">
        <v>84</v>
      </c>
      <c r="G1058" s="17" t="s">
        <v>92</v>
      </c>
      <c r="H1058" s="18">
        <v>124875.4600</v>
      </c>
      <c r="I1058" s="18">
        <v>0</v>
      </c>
      <c r="J1058" s="18">
        <f ca="1">((J1057 + H1058) - I1058)</f>
        <v>0</v>
      </c>
      <c r="K1058" s="18">
        <v>0</v>
      </c>
      <c r="L1058" s="19">
        <v>0</v>
      </c>
      <c r="M1058" s="17"/>
    </row>
    <row r="1059" ht="10.95" customHeight="true" customFormat="true" s="9">
      <c r="A1059" s="16">
        <v>45443</v>
      </c>
      <c r="B1059" s="17" t="s">
        <v>701</v>
      </c>
      <c r="C1059" s="17" t="s">
        <v>702</v>
      </c>
      <c r="D1059" s="17" t="s">
        <v>703</v>
      </c>
      <c r="E1059" s="17" t="s">
        <v>163</v>
      </c>
      <c r="F1059" s="17" t="s">
        <v>84</v>
      </c>
      <c r="G1059" s="17" t="s">
        <v>93</v>
      </c>
      <c r="H1059" s="18">
        <v>147019.8700</v>
      </c>
      <c r="I1059" s="18">
        <v>0</v>
      </c>
      <c r="J1059" s="18">
        <f ca="1">((J1058 + H1059) - I1059)</f>
        <v>0</v>
      </c>
      <c r="K1059" s="18">
        <v>0</v>
      </c>
      <c r="L1059" s="19">
        <v>0</v>
      </c>
      <c r="M1059" s="17"/>
    </row>
    <row r="1060" ht="10.95" customHeight="true" customFormat="true" s="9">
      <c r="A1060" s="16">
        <v>45443</v>
      </c>
      <c r="B1060" s="17" t="s">
        <v>701</v>
      </c>
      <c r="C1060" s="17" t="s">
        <v>702</v>
      </c>
      <c r="D1060" s="17" t="s">
        <v>703</v>
      </c>
      <c r="E1060" s="17" t="s">
        <v>163</v>
      </c>
      <c r="F1060" s="17" t="s">
        <v>84</v>
      </c>
      <c r="G1060" s="17" t="s">
        <v>261</v>
      </c>
      <c r="H1060" s="18">
        <v>768.4100</v>
      </c>
      <c r="I1060" s="18">
        <v>0</v>
      </c>
      <c r="J1060" s="18">
        <f ca="1">((J1059 + H1060) - I1060)</f>
        <v>0</v>
      </c>
      <c r="K1060" s="18">
        <v>0</v>
      </c>
      <c r="L1060" s="19">
        <v>0</v>
      </c>
      <c r="M1060" s="17"/>
    </row>
    <row r="1061" ht="10.95" customHeight="true" customFormat="true" s="9">
      <c r="A1061" s="16">
        <v>45443</v>
      </c>
      <c r="B1061" s="17" t="s">
        <v>701</v>
      </c>
      <c r="C1061" s="17" t="s">
        <v>702</v>
      </c>
      <c r="D1061" s="17" t="s">
        <v>703</v>
      </c>
      <c r="E1061" s="17" t="s">
        <v>163</v>
      </c>
      <c r="F1061" s="17" t="s">
        <v>84</v>
      </c>
      <c r="G1061" s="17" t="s">
        <v>106</v>
      </c>
      <c r="H1061" s="18">
        <v>252122.4700</v>
      </c>
      <c r="I1061" s="18">
        <v>0</v>
      </c>
      <c r="J1061" s="18">
        <f ca="1">((J1060 + H1061) - I1061)</f>
        <v>0</v>
      </c>
      <c r="K1061" s="18">
        <v>0</v>
      </c>
      <c r="L1061" s="19">
        <v>0</v>
      </c>
      <c r="M1061" s="17"/>
    </row>
    <row r="1062" ht="10.95" customHeight="true" customFormat="true" s="9">
      <c r="A1062" s="16">
        <v>45443</v>
      </c>
      <c r="B1062" s="17" t="s">
        <v>701</v>
      </c>
      <c r="C1062" s="17" t="s">
        <v>702</v>
      </c>
      <c r="D1062" s="17" t="s">
        <v>703</v>
      </c>
      <c r="E1062" s="17" t="s">
        <v>163</v>
      </c>
      <c r="F1062" s="17" t="s">
        <v>84</v>
      </c>
      <c r="G1062" s="17" t="s">
        <v>107</v>
      </c>
      <c r="H1062" s="18">
        <v>584563.9600</v>
      </c>
      <c r="I1062" s="18">
        <v>0</v>
      </c>
      <c r="J1062" s="18">
        <f ca="1">((J1061 + H1062) - I1062)</f>
        <v>0</v>
      </c>
      <c r="K1062" s="18">
        <v>0</v>
      </c>
      <c r="L1062" s="19">
        <v>0</v>
      </c>
      <c r="M1062" s="17"/>
    </row>
    <row r="1063" ht="10.95" customHeight="true" customFormat="true" s="9">
      <c r="A1063" s="16">
        <v>45443</v>
      </c>
      <c r="B1063" s="17" t="s">
        <v>701</v>
      </c>
      <c r="C1063" s="17" t="s">
        <v>702</v>
      </c>
      <c r="D1063" s="17" t="s">
        <v>703</v>
      </c>
      <c r="E1063" s="17" t="s">
        <v>163</v>
      </c>
      <c r="F1063" s="17" t="s">
        <v>84</v>
      </c>
      <c r="G1063" s="17" t="s">
        <v>116</v>
      </c>
      <c r="H1063" s="18">
        <v>116054.2300</v>
      </c>
      <c r="I1063" s="18">
        <v>0</v>
      </c>
      <c r="J1063" s="18">
        <f ca="1">((J1062 + H1063) - I1063)</f>
        <v>0</v>
      </c>
      <c r="K1063" s="18">
        <v>0</v>
      </c>
      <c r="L1063" s="19">
        <v>0</v>
      </c>
      <c r="M1063" s="17"/>
    </row>
    <row r="1064" ht="10.95" customHeight="true" customFormat="true" s="9">
      <c r="A1064" s="16">
        <v>45443</v>
      </c>
      <c r="B1064" s="17" t="s">
        <v>701</v>
      </c>
      <c r="C1064" s="17" t="s">
        <v>702</v>
      </c>
      <c r="D1064" s="17" t="s">
        <v>703</v>
      </c>
      <c r="E1064" s="17" t="s">
        <v>163</v>
      </c>
      <c r="F1064" s="17" t="s">
        <v>84</v>
      </c>
      <c r="G1064" s="17" t="s">
        <v>115</v>
      </c>
      <c r="H1064" s="18">
        <v>73415.6600</v>
      </c>
      <c r="I1064" s="18">
        <v>0</v>
      </c>
      <c r="J1064" s="18">
        <f ca="1">((J1063 + H1064) - I1064)</f>
        <v>0</v>
      </c>
      <c r="K1064" s="18">
        <v>0</v>
      </c>
      <c r="L1064" s="19">
        <v>0</v>
      </c>
      <c r="M1064" s="17"/>
    </row>
    <row r="1065" ht="10.95" customHeight="true" customFormat="true" s="9">
      <c r="A1065" s="16">
        <v>45443</v>
      </c>
      <c r="B1065" s="17" t="s">
        <v>701</v>
      </c>
      <c r="C1065" s="17" t="s">
        <v>702</v>
      </c>
      <c r="D1065" s="17" t="s">
        <v>703</v>
      </c>
      <c r="E1065" s="17" t="s">
        <v>163</v>
      </c>
      <c r="F1065" s="17" t="s">
        <v>84</v>
      </c>
      <c r="G1065" s="17" t="s">
        <v>114</v>
      </c>
      <c r="H1065" s="18">
        <v>110068.4600</v>
      </c>
      <c r="I1065" s="18">
        <v>0</v>
      </c>
      <c r="J1065" s="18">
        <f ca="1">((J1064 + H1065) - I1065)</f>
        <v>0</v>
      </c>
      <c r="K1065" s="18">
        <v>0</v>
      </c>
      <c r="L1065" s="19">
        <v>0</v>
      </c>
      <c r="M1065" s="17"/>
    </row>
    <row r="1066" ht="10.95" customHeight="true" customFormat="true" s="9">
      <c r="A1066" s="16">
        <v>45443</v>
      </c>
      <c r="B1066" s="17" t="s">
        <v>701</v>
      </c>
      <c r="C1066" s="17" t="s">
        <v>702</v>
      </c>
      <c r="D1066" s="17" t="s">
        <v>703</v>
      </c>
      <c r="E1066" s="17" t="s">
        <v>163</v>
      </c>
      <c r="F1066" s="17" t="s">
        <v>84</v>
      </c>
      <c r="G1066" s="17" t="s">
        <v>117</v>
      </c>
      <c r="H1066" s="18">
        <v>128068.2100</v>
      </c>
      <c r="I1066" s="18">
        <v>0</v>
      </c>
      <c r="J1066" s="18">
        <f ca="1">((J1065 + H1066) - I1066)</f>
        <v>0</v>
      </c>
      <c r="K1066" s="18">
        <v>0</v>
      </c>
      <c r="L1066" s="19">
        <v>0</v>
      </c>
      <c r="M1066" s="17"/>
    </row>
    <row r="1067" ht="10.95" customHeight="true" customFormat="true" s="9">
      <c r="A1067" s="16">
        <v>45443</v>
      </c>
      <c r="B1067" s="17" t="s">
        <v>701</v>
      </c>
      <c r="C1067" s="17" t="s">
        <v>702</v>
      </c>
      <c r="D1067" s="17" t="s">
        <v>703</v>
      </c>
      <c r="E1067" s="17" t="s">
        <v>163</v>
      </c>
      <c r="F1067" s="17" t="s">
        <v>84</v>
      </c>
      <c r="G1067" s="17" t="s">
        <v>119</v>
      </c>
      <c r="H1067" s="18">
        <v>252122.4700</v>
      </c>
      <c r="I1067" s="18">
        <v>0</v>
      </c>
      <c r="J1067" s="18">
        <f ca="1">((J1066 + H1067) - I1067)</f>
        <v>0</v>
      </c>
      <c r="K1067" s="18">
        <v>0</v>
      </c>
      <c r="L1067" s="19">
        <v>0</v>
      </c>
      <c r="M1067" s="17"/>
    </row>
    <row r="1068" ht="10.95" customHeight="true" customFormat="true" s="9">
      <c r="A1068" s="16">
        <v>45443</v>
      </c>
      <c r="B1068" s="17" t="s">
        <v>701</v>
      </c>
      <c r="C1068" s="17" t="s">
        <v>702</v>
      </c>
      <c r="D1068" s="17" t="s">
        <v>703</v>
      </c>
      <c r="E1068" s="17" t="s">
        <v>163</v>
      </c>
      <c r="F1068" s="17" t="s">
        <v>84</v>
      </c>
      <c r="G1068" s="17" t="s">
        <v>120</v>
      </c>
      <c r="H1068" s="18">
        <v>132064.1500</v>
      </c>
      <c r="I1068" s="18">
        <v>0</v>
      </c>
      <c r="J1068" s="18">
        <f ca="1">((J1067 + H1068) - I1068)</f>
        <v>0</v>
      </c>
      <c r="K1068" s="18">
        <v>0</v>
      </c>
      <c r="L1068" s="19">
        <v>0</v>
      </c>
      <c r="M1068" s="17"/>
    </row>
    <row r="1069" ht="10.95" customHeight="true" customFormat="true" s="9">
      <c r="A1069" s="16">
        <v>45443</v>
      </c>
      <c r="B1069" s="17" t="s">
        <v>701</v>
      </c>
      <c r="C1069" s="17" t="s">
        <v>702</v>
      </c>
      <c r="D1069" s="17" t="s">
        <v>703</v>
      </c>
      <c r="E1069" s="17" t="s">
        <v>170</v>
      </c>
      <c r="F1069" s="17" t="s">
        <v>84</v>
      </c>
      <c r="G1069" s="17" t="s">
        <v>261</v>
      </c>
      <c r="H1069" s="18">
        <v>0</v>
      </c>
      <c r="I1069" s="18">
        <v>768.4100</v>
      </c>
      <c r="J1069" s="18">
        <f ca="1">((J1068 + H1069) - I1069)</f>
        <v>0</v>
      </c>
      <c r="K1069" s="18">
        <v>0</v>
      </c>
      <c r="L1069" s="19">
        <v>0</v>
      </c>
      <c r="M1069" s="17"/>
    </row>
    <row r="1070" ht="10.95" customHeight="true" customFormat="true" s="9">
      <c r="A1070" s="16">
        <v>45443</v>
      </c>
      <c r="B1070" s="17" t="s">
        <v>701</v>
      </c>
      <c r="C1070" s="17" t="s">
        <v>702</v>
      </c>
      <c r="D1070" s="17" t="s">
        <v>703</v>
      </c>
      <c r="E1070" s="17" t="s">
        <v>538</v>
      </c>
      <c r="F1070" s="17" t="s">
        <v>84</v>
      </c>
      <c r="G1070" s="17" t="s">
        <v>261</v>
      </c>
      <c r="H1070" s="18">
        <v>768.4100</v>
      </c>
      <c r="I1070" s="18">
        <v>0</v>
      </c>
      <c r="J1070" s="18">
        <f ca="1">((J1069 + H1070) - I1070)</f>
        <v>0</v>
      </c>
      <c r="K1070" s="18">
        <v>0</v>
      </c>
      <c r="L1070" s="19">
        <v>0</v>
      </c>
      <c r="M1070" s="17"/>
    </row>
    <row r="1071" ht="10.95" customHeight="true" customFormat="true" s="9">
      <c r="A1071" s="16">
        <v>45443</v>
      </c>
      <c r="B1071" s="17" t="s">
        <v>701</v>
      </c>
      <c r="C1071" s="17" t="s">
        <v>702</v>
      </c>
      <c r="D1071" s="17" t="s">
        <v>703</v>
      </c>
      <c r="E1071" s="17" t="s">
        <v>538</v>
      </c>
      <c r="F1071" s="17" t="s">
        <v>84</v>
      </c>
      <c r="G1071" s="17" t="s">
        <v>261</v>
      </c>
      <c r="H1071" s="18">
        <v>0</v>
      </c>
      <c r="I1071" s="18">
        <v>768.4100</v>
      </c>
      <c r="J1071" s="18">
        <f ca="1">((J1070 + H1071) - I1071)</f>
        <v>0</v>
      </c>
      <c r="K1071" s="18">
        <v>0</v>
      </c>
      <c r="L1071" s="19">
        <v>0</v>
      </c>
      <c r="M1071" s="17"/>
    </row>
    <row r="1072" ht="10.95" customHeight="true" customFormat="true" s="9">
      <c r="A1072" s="16">
        <v>45443</v>
      </c>
      <c r="B1072" s="17" t="s">
        <v>701</v>
      </c>
      <c r="C1072" s="17" t="s">
        <v>702</v>
      </c>
      <c r="D1072" s="17" t="s">
        <v>703</v>
      </c>
      <c r="E1072" s="17" t="s">
        <v>163</v>
      </c>
      <c r="F1072" s="17" t="s">
        <v>704</v>
      </c>
      <c r="G1072" s="17" t="s">
        <v>85</v>
      </c>
      <c r="H1072" s="18">
        <v>44999.3700</v>
      </c>
      <c r="I1072" s="18">
        <v>0</v>
      </c>
      <c r="J1072" s="18">
        <f ca="1">((J1071 + H1072) - I1072)</f>
        <v>0</v>
      </c>
      <c r="K1072" s="18">
        <v>0</v>
      </c>
      <c r="L1072" s="19">
        <v>0</v>
      </c>
      <c r="M1072" s="17"/>
    </row>
    <row r="1073" ht="10.95" customHeight="true" customFormat="true" s="9">
      <c r="A1073" s="16">
        <v>45450</v>
      </c>
      <c r="B1073" s="17" t="s">
        <v>701</v>
      </c>
      <c r="C1073" s="17" t="s">
        <v>702</v>
      </c>
      <c r="D1073" s="17" t="s">
        <v>703</v>
      </c>
      <c r="E1073" s="17" t="s">
        <v>70</v>
      </c>
      <c r="F1073" s="17" t="s">
        <v>71</v>
      </c>
      <c r="G1073" s="17" t="s">
        <v>82</v>
      </c>
      <c r="H1073" s="18">
        <v>0</v>
      </c>
      <c r="I1073" s="18">
        <v>157890.8700</v>
      </c>
      <c r="J1073" s="18">
        <f ca="1">((J1072 + H1073) - I1073)</f>
        <v>0</v>
      </c>
      <c r="K1073" s="18">
        <v>0</v>
      </c>
      <c r="L1073" s="19">
        <v>0</v>
      </c>
      <c r="M1073" s="17"/>
    </row>
    <row r="1074" ht="10.95" customHeight="true" customFormat="true" s="9">
      <c r="A1074" s="16">
        <v>45450</v>
      </c>
      <c r="B1074" s="17" t="s">
        <v>701</v>
      </c>
      <c r="C1074" s="17" t="s">
        <v>702</v>
      </c>
      <c r="D1074" s="17" t="s">
        <v>703</v>
      </c>
      <c r="E1074" s="17" t="s">
        <v>70</v>
      </c>
      <c r="F1074" s="17" t="s">
        <v>71</v>
      </c>
      <c r="G1074" s="17" t="s">
        <v>83</v>
      </c>
      <c r="H1074" s="18">
        <v>0</v>
      </c>
      <c r="I1074" s="18">
        <v>170643.0400</v>
      </c>
      <c r="J1074" s="18">
        <f ca="1">((J1073 + H1074) - I1074)</f>
        <v>0</v>
      </c>
      <c r="K1074" s="18">
        <v>0</v>
      </c>
      <c r="L1074" s="19">
        <v>0</v>
      </c>
      <c r="M1074" s="17"/>
    </row>
    <row r="1075" ht="10.95" customHeight="true" customFormat="true" s="9">
      <c r="A1075" s="16">
        <v>45450</v>
      </c>
      <c r="B1075" s="17" t="s">
        <v>701</v>
      </c>
      <c r="C1075" s="17" t="s">
        <v>702</v>
      </c>
      <c r="D1075" s="17" t="s">
        <v>703</v>
      </c>
      <c r="E1075" s="17" t="s">
        <v>70</v>
      </c>
      <c r="F1075" s="17" t="s">
        <v>74</v>
      </c>
      <c r="G1075" s="17" t="s">
        <v>85</v>
      </c>
      <c r="H1075" s="18">
        <v>0</v>
      </c>
      <c r="I1075" s="18">
        <v>44999.3700</v>
      </c>
      <c r="J1075" s="18">
        <f ca="1">((J1074 + H1075) - I1075)</f>
        <v>0</v>
      </c>
      <c r="K1075" s="18">
        <v>0</v>
      </c>
      <c r="L1075" s="19">
        <v>0</v>
      </c>
      <c r="M1075" s="17"/>
    </row>
    <row r="1076" ht="10.95" customHeight="true" customFormat="true" s="9">
      <c r="A1076" s="16">
        <v>45472</v>
      </c>
      <c r="B1076" s="17" t="s">
        <v>701</v>
      </c>
      <c r="C1076" s="17" t="s">
        <v>702</v>
      </c>
      <c r="D1076" s="17" t="s">
        <v>703</v>
      </c>
      <c r="E1076" s="17" t="s">
        <v>70</v>
      </c>
      <c r="F1076" s="17" t="s">
        <v>74</v>
      </c>
      <c r="G1076" s="17" t="s">
        <v>86</v>
      </c>
      <c r="H1076" s="18">
        <v>0</v>
      </c>
      <c r="I1076" s="18">
        <v>45160.3200</v>
      </c>
      <c r="J1076" s="18">
        <f ca="1">((J1075 + H1076) - I1076)</f>
        <v>0</v>
      </c>
      <c r="K1076" s="18">
        <v>0</v>
      </c>
      <c r="L1076" s="19">
        <v>0</v>
      </c>
      <c r="M1076" s="17"/>
    </row>
    <row r="1077" ht="10.95" customHeight="true" customFormat="true" s="9">
      <c r="A1077" s="16">
        <v>45473</v>
      </c>
      <c r="B1077" s="17" t="s">
        <v>701</v>
      </c>
      <c r="C1077" s="17" t="s">
        <v>702</v>
      </c>
      <c r="D1077" s="17" t="s">
        <v>703</v>
      </c>
      <c r="E1077" s="17" t="s">
        <v>163</v>
      </c>
      <c r="F1077" s="17" t="s">
        <v>704</v>
      </c>
      <c r="G1077" s="17" t="s">
        <v>86</v>
      </c>
      <c r="H1077" s="18">
        <v>45160.3200</v>
      </c>
      <c r="I1077" s="18">
        <v>0</v>
      </c>
      <c r="J1077" s="18">
        <f ca="1">((J1076 + H1077) - I1077)</f>
        <v>0</v>
      </c>
      <c r="K1077" s="18">
        <v>0</v>
      </c>
      <c r="L1077" s="19">
        <v>0</v>
      </c>
      <c r="M1077" s="17"/>
    </row>
    <row r="1078" ht="10.95" customHeight="true" customFormat="true" s="9">
      <c r="A1078" s="16">
        <v>45473</v>
      </c>
      <c r="B1078" s="17" t="s">
        <v>701</v>
      </c>
      <c r="C1078" s="17" t="s">
        <v>702</v>
      </c>
      <c r="D1078" s="17" t="s">
        <v>703</v>
      </c>
      <c r="E1078" s="17" t="s">
        <v>163</v>
      </c>
      <c r="F1078" s="17" t="s">
        <v>84</v>
      </c>
      <c r="G1078" s="17" t="s">
        <v>128</v>
      </c>
      <c r="H1078" s="18">
        <v>384950.2600</v>
      </c>
      <c r="I1078" s="18">
        <v>0</v>
      </c>
      <c r="J1078" s="18">
        <f ca="1">((J1077 + H1078) - I1078)</f>
        <v>0</v>
      </c>
      <c r="K1078" s="18">
        <v>0</v>
      </c>
      <c r="L1078" s="19">
        <v>0</v>
      </c>
      <c r="M1078" s="17"/>
    </row>
    <row r="1079" ht="10.95" customHeight="true" customFormat="true" s="9">
      <c r="A1079" s="16">
        <v>45473</v>
      </c>
      <c r="B1079" s="17" t="s">
        <v>701</v>
      </c>
      <c r="C1079" s="17" t="s">
        <v>702</v>
      </c>
      <c r="D1079" s="17" t="s">
        <v>703</v>
      </c>
      <c r="E1079" s="17" t="s">
        <v>163</v>
      </c>
      <c r="F1079" s="17" t="s">
        <v>84</v>
      </c>
      <c r="G1079" s="17" t="s">
        <v>126</v>
      </c>
      <c r="H1079" s="18">
        <v>189369.9500</v>
      </c>
      <c r="I1079" s="18">
        <v>0</v>
      </c>
      <c r="J1079" s="18">
        <f ca="1">((J1078 + H1079) - I1079)</f>
        <v>0</v>
      </c>
      <c r="K1079" s="18">
        <v>0</v>
      </c>
      <c r="L1079" s="19">
        <v>0</v>
      </c>
      <c r="M1079" s="17"/>
    </row>
    <row r="1080" ht="10.95" customHeight="true" customFormat="true" s="9">
      <c r="A1080" s="16">
        <v>45478</v>
      </c>
      <c r="B1080" s="17" t="s">
        <v>701</v>
      </c>
      <c r="C1080" s="17" t="s">
        <v>702</v>
      </c>
      <c r="D1080" s="17" t="s">
        <v>703</v>
      </c>
      <c r="E1080" s="17" t="s">
        <v>70</v>
      </c>
      <c r="F1080" s="17" t="s">
        <v>71</v>
      </c>
      <c r="G1080" s="17" t="s">
        <v>88</v>
      </c>
      <c r="H1080" s="18">
        <v>0</v>
      </c>
      <c r="I1080" s="18">
        <v>324060.6900</v>
      </c>
      <c r="J1080" s="18">
        <f ca="1">((J1079 + H1080) - I1080)</f>
        <v>0</v>
      </c>
      <c r="K1080" s="18">
        <v>0</v>
      </c>
      <c r="L1080" s="19">
        <v>0</v>
      </c>
      <c r="M1080" s="17"/>
    </row>
    <row r="1081" ht="10.95" customHeight="true" customFormat="true" s="9">
      <c r="A1081" s="16">
        <v>45504</v>
      </c>
      <c r="B1081" s="17" t="s">
        <v>701</v>
      </c>
      <c r="C1081" s="17" t="s">
        <v>702</v>
      </c>
      <c r="D1081" s="17" t="s">
        <v>703</v>
      </c>
      <c r="E1081" s="17" t="s">
        <v>163</v>
      </c>
      <c r="F1081" s="17" t="s">
        <v>704</v>
      </c>
      <c r="G1081" s="17" t="s">
        <v>91</v>
      </c>
      <c r="H1081" s="18">
        <v>45977.7200</v>
      </c>
      <c r="I1081" s="18">
        <v>0</v>
      </c>
      <c r="J1081" s="18">
        <f ca="1">((J1080 + H1081) - I1081)</f>
        <v>0</v>
      </c>
      <c r="K1081" s="18">
        <v>0</v>
      </c>
      <c r="L1081" s="19">
        <v>0</v>
      </c>
      <c r="M1081" s="17"/>
    </row>
    <row r="1082" ht="10.95" customHeight="true" customFormat="true" s="9">
      <c r="A1082" s="16">
        <v>45504</v>
      </c>
      <c r="B1082" s="17" t="s">
        <v>701</v>
      </c>
      <c r="C1082" s="17" t="s">
        <v>702</v>
      </c>
      <c r="D1082" s="17" t="s">
        <v>703</v>
      </c>
      <c r="E1082" s="17" t="s">
        <v>163</v>
      </c>
      <c r="F1082" s="17" t="s">
        <v>84</v>
      </c>
      <c r="G1082" s="17" t="s">
        <v>140</v>
      </c>
      <c r="H1082" s="18">
        <v>138362.9500</v>
      </c>
      <c r="I1082" s="18">
        <v>0</v>
      </c>
      <c r="J1082" s="18">
        <f ca="1">((J1081 + H1082) - I1082)</f>
        <v>0</v>
      </c>
      <c r="K1082" s="18">
        <v>0</v>
      </c>
      <c r="L1082" s="19">
        <v>0</v>
      </c>
      <c r="M1082" s="17"/>
    </row>
    <row r="1083" ht="10.95" customHeight="true" customFormat="true" s="9">
      <c r="A1083" s="16">
        <v>45506</v>
      </c>
      <c r="B1083" s="17" t="s">
        <v>701</v>
      </c>
      <c r="C1083" s="17" t="s">
        <v>702</v>
      </c>
      <c r="D1083" s="17" t="s">
        <v>703</v>
      </c>
      <c r="E1083" s="17" t="s">
        <v>70</v>
      </c>
      <c r="F1083" s="17" t="s">
        <v>71</v>
      </c>
      <c r="G1083" s="17" t="s">
        <v>89</v>
      </c>
      <c r="H1083" s="18">
        <v>0</v>
      </c>
      <c r="I1083" s="18">
        <v>282.6200</v>
      </c>
      <c r="J1083" s="18">
        <f ca="1">((J1082 + H1083) - I1083)</f>
        <v>0</v>
      </c>
      <c r="K1083" s="18">
        <v>0</v>
      </c>
      <c r="L1083" s="19">
        <v>0</v>
      </c>
      <c r="M1083" s="17"/>
    </row>
    <row r="1084" ht="10.95" customHeight="true" customFormat="true" s="9">
      <c r="A1084" s="16">
        <v>45506</v>
      </c>
      <c r="B1084" s="17" t="s">
        <v>701</v>
      </c>
      <c r="C1084" s="17" t="s">
        <v>702</v>
      </c>
      <c r="D1084" s="17" t="s">
        <v>703</v>
      </c>
      <c r="E1084" s="17" t="s">
        <v>70</v>
      </c>
      <c r="F1084" s="17" t="s">
        <v>71</v>
      </c>
      <c r="G1084" s="17" t="s">
        <v>90</v>
      </c>
      <c r="H1084" s="18">
        <v>0</v>
      </c>
      <c r="I1084" s="18">
        <v>73415.6600</v>
      </c>
      <c r="J1084" s="18">
        <f ca="1">((J1083 + H1084) - I1084)</f>
        <v>0</v>
      </c>
      <c r="K1084" s="18">
        <v>0</v>
      </c>
      <c r="L1084" s="19">
        <v>0</v>
      </c>
      <c r="M1084" s="17"/>
    </row>
    <row r="1085" ht="10.95" customHeight="true" customFormat="true" s="9">
      <c r="A1085" s="16">
        <v>45510</v>
      </c>
      <c r="B1085" s="17" t="s">
        <v>701</v>
      </c>
      <c r="C1085" s="17" t="s">
        <v>702</v>
      </c>
      <c r="D1085" s="17" t="s">
        <v>703</v>
      </c>
      <c r="E1085" s="17" t="s">
        <v>70</v>
      </c>
      <c r="F1085" s="17" t="s">
        <v>74</v>
      </c>
      <c r="G1085" s="17" t="s">
        <v>91</v>
      </c>
      <c r="H1085" s="18">
        <v>0</v>
      </c>
      <c r="I1085" s="18">
        <v>45977.7200</v>
      </c>
      <c r="J1085" s="18">
        <f ca="1">((J1084 + H1085) - I1085)</f>
        <v>0</v>
      </c>
      <c r="K1085" s="18">
        <v>0</v>
      </c>
      <c r="L1085" s="19">
        <v>0</v>
      </c>
      <c r="M1085" s="17"/>
    </row>
    <row r="1086" ht="10.95" customHeight="true" customFormat="true" s="9">
      <c r="A1086" s="16">
        <v>45525</v>
      </c>
      <c r="B1086" s="17" t="s">
        <v>701</v>
      </c>
      <c r="C1086" s="17" t="s">
        <v>702</v>
      </c>
      <c r="D1086" s="17" t="s">
        <v>703</v>
      </c>
      <c r="E1086" s="17" t="s">
        <v>70</v>
      </c>
      <c r="F1086" s="17" t="s">
        <v>71</v>
      </c>
      <c r="G1086" s="17" t="s">
        <v>92</v>
      </c>
      <c r="H1086" s="18">
        <v>0</v>
      </c>
      <c r="I1086" s="18">
        <v>124875.4600</v>
      </c>
      <c r="J1086" s="18">
        <f ca="1">((J1085 + H1086) - I1086)</f>
        <v>0</v>
      </c>
      <c r="K1086" s="18">
        <v>0</v>
      </c>
      <c r="L1086" s="19">
        <v>0</v>
      </c>
      <c r="M1086" s="17"/>
    </row>
    <row r="1087" ht="10.95" customHeight="true" customFormat="true" s="9">
      <c r="A1087" s="16">
        <v>45525</v>
      </c>
      <c r="B1087" s="17" t="s">
        <v>701</v>
      </c>
      <c r="C1087" s="17" t="s">
        <v>702</v>
      </c>
      <c r="D1087" s="17" t="s">
        <v>703</v>
      </c>
      <c r="E1087" s="17" t="s">
        <v>70</v>
      </c>
      <c r="F1087" s="17" t="s">
        <v>71</v>
      </c>
      <c r="G1087" s="17" t="s">
        <v>93</v>
      </c>
      <c r="H1087" s="18">
        <v>0</v>
      </c>
      <c r="I1087" s="18">
        <v>147019.8700</v>
      </c>
      <c r="J1087" s="18">
        <f ca="1">((J1086 + H1087) - I1087)</f>
        <v>0</v>
      </c>
      <c r="K1087" s="18">
        <v>0</v>
      </c>
      <c r="L1087" s="19">
        <v>0</v>
      </c>
      <c r="M1087" s="17"/>
    </row>
    <row r="1088" ht="10.95" customHeight="true" customFormat="true" s="9">
      <c r="A1088" s="16">
        <v>45535</v>
      </c>
      <c r="B1088" s="17" t="s">
        <v>701</v>
      </c>
      <c r="C1088" s="17" t="s">
        <v>702</v>
      </c>
      <c r="D1088" s="17" t="s">
        <v>703</v>
      </c>
      <c r="E1088" s="17" t="s">
        <v>163</v>
      </c>
      <c r="F1088" s="17" t="s">
        <v>704</v>
      </c>
      <c r="G1088" s="17" t="s">
        <v>94</v>
      </c>
      <c r="H1088" s="18">
        <v>44346.6200</v>
      </c>
      <c r="I1088" s="18">
        <v>0</v>
      </c>
      <c r="J1088" s="18">
        <f ca="1">((J1087 + H1088) - I1088)</f>
        <v>0</v>
      </c>
      <c r="K1088" s="18">
        <v>0</v>
      </c>
      <c r="L1088" s="19">
        <v>0</v>
      </c>
      <c r="M1088" s="17"/>
    </row>
    <row r="1089" ht="10.95" customHeight="true" customFormat="true" s="9">
      <c r="A1089" s="16">
        <v>45535</v>
      </c>
      <c r="B1089" s="17" t="s">
        <v>701</v>
      </c>
      <c r="C1089" s="17" t="s">
        <v>702</v>
      </c>
      <c r="D1089" s="17" t="s">
        <v>703</v>
      </c>
      <c r="E1089" s="17" t="s">
        <v>163</v>
      </c>
      <c r="F1089" s="17" t="s">
        <v>84</v>
      </c>
      <c r="G1089" s="17" t="s">
        <v>142</v>
      </c>
      <c r="H1089" s="18">
        <v>129054.9600</v>
      </c>
      <c r="I1089" s="18">
        <v>0</v>
      </c>
      <c r="J1089" s="18">
        <f ca="1">((J1088 + H1089) - I1089)</f>
        <v>0</v>
      </c>
      <c r="K1089" s="18">
        <v>0</v>
      </c>
      <c r="L1089" s="19">
        <v>0</v>
      </c>
      <c r="M1089" s="17"/>
    </row>
    <row r="1090" ht="10.95" customHeight="true" customFormat="true" s="9">
      <c r="A1090" s="16">
        <v>45535</v>
      </c>
      <c r="B1090" s="17" t="s">
        <v>701</v>
      </c>
      <c r="C1090" s="17" t="s">
        <v>702</v>
      </c>
      <c r="D1090" s="17" t="s">
        <v>703</v>
      </c>
      <c r="E1090" s="17" t="s">
        <v>163</v>
      </c>
      <c r="F1090" s="17" t="s">
        <v>84</v>
      </c>
      <c r="G1090" s="17" t="s">
        <v>143</v>
      </c>
      <c r="H1090" s="18">
        <v>288.9900</v>
      </c>
      <c r="I1090" s="18">
        <v>0</v>
      </c>
      <c r="J1090" s="18">
        <f ca="1">((J1089 + H1090) - I1090)</f>
        <v>0</v>
      </c>
      <c r="K1090" s="18">
        <v>0</v>
      </c>
      <c r="L1090" s="19">
        <v>0</v>
      </c>
      <c r="M1090" s="17"/>
    </row>
    <row r="1091" ht="10.95" customHeight="true" customFormat="true" s="9">
      <c r="A1091" s="16">
        <v>45535</v>
      </c>
      <c r="B1091" s="17" t="s">
        <v>701</v>
      </c>
      <c r="C1091" s="17" t="s">
        <v>702</v>
      </c>
      <c r="D1091" s="17" t="s">
        <v>703</v>
      </c>
      <c r="E1091" s="17" t="s">
        <v>163</v>
      </c>
      <c r="F1091" s="17" t="s">
        <v>84</v>
      </c>
      <c r="G1091" s="17" t="s">
        <v>144</v>
      </c>
      <c r="H1091" s="18">
        <v>1945.3400</v>
      </c>
      <c r="I1091" s="18">
        <v>0</v>
      </c>
      <c r="J1091" s="18">
        <f ca="1">((J1090 + H1091) - I1091)</f>
        <v>0</v>
      </c>
      <c r="K1091" s="18">
        <v>0</v>
      </c>
      <c r="L1091" s="19">
        <v>0</v>
      </c>
      <c r="M1091" s="17"/>
    </row>
    <row r="1092" ht="10.95" customHeight="true" customFormat="true" s="9">
      <c r="A1092" s="16">
        <v>45539</v>
      </c>
      <c r="B1092" s="17" t="s">
        <v>701</v>
      </c>
      <c r="C1092" s="17" t="s">
        <v>702</v>
      </c>
      <c r="D1092" s="17" t="s">
        <v>703</v>
      </c>
      <c r="E1092" s="17" t="s">
        <v>70</v>
      </c>
      <c r="F1092" s="17" t="s">
        <v>74</v>
      </c>
      <c r="G1092" s="17" t="s">
        <v>94</v>
      </c>
      <c r="H1092" s="18">
        <v>0</v>
      </c>
      <c r="I1092" s="18">
        <v>44346.6200</v>
      </c>
      <c r="J1092" s="18">
        <f ca="1">((J1091 + H1092) - I1092)</f>
        <v>0</v>
      </c>
      <c r="K1092" s="18">
        <v>0</v>
      </c>
      <c r="L1092" s="19">
        <v>0</v>
      </c>
      <c r="M1092" s="17"/>
    </row>
    <row r="1093" ht="10.95" customHeight="true" customFormat="true" s="9">
      <c r="A1093" s="16">
        <v>45552</v>
      </c>
      <c r="B1093" s="17" t="s">
        <v>701</v>
      </c>
      <c r="C1093" s="17" t="s">
        <v>702</v>
      </c>
      <c r="D1093" s="17" t="s">
        <v>703</v>
      </c>
      <c r="E1093" s="17" t="s">
        <v>70</v>
      </c>
      <c r="F1093" s="17" t="s">
        <v>71</v>
      </c>
      <c r="G1093" s="17" t="s">
        <v>106</v>
      </c>
      <c r="H1093" s="18">
        <v>0</v>
      </c>
      <c r="I1093" s="18">
        <v>252122.4700</v>
      </c>
      <c r="J1093" s="18">
        <f ca="1">((J1092 + H1093) - I1093)</f>
        <v>0</v>
      </c>
      <c r="K1093" s="18">
        <v>0</v>
      </c>
      <c r="L1093" s="19">
        <v>0</v>
      </c>
      <c r="M1093" s="17"/>
    </row>
    <row r="1094" ht="10.95" customHeight="true" customFormat="true" s="9">
      <c r="A1094" s="16">
        <v>45552</v>
      </c>
      <c r="B1094" s="17" t="s">
        <v>701</v>
      </c>
      <c r="C1094" s="17" t="s">
        <v>702</v>
      </c>
      <c r="D1094" s="17" t="s">
        <v>703</v>
      </c>
      <c r="E1094" s="17" t="s">
        <v>70</v>
      </c>
      <c r="F1094" s="17" t="s">
        <v>71</v>
      </c>
      <c r="G1094" s="17" t="s">
        <v>107</v>
      </c>
      <c r="H1094" s="18">
        <v>0</v>
      </c>
      <c r="I1094" s="18">
        <v>584563.9600</v>
      </c>
      <c r="J1094" s="18">
        <f ca="1">((J1093 + H1094) - I1094)</f>
        <v>0</v>
      </c>
      <c r="K1094" s="18">
        <v>0</v>
      </c>
      <c r="L1094" s="19">
        <v>0</v>
      </c>
      <c r="M1094" s="17"/>
    </row>
    <row r="1095" ht="10.95" customHeight="true" customFormat="true" s="9">
      <c r="A1095" s="16">
        <v>45565</v>
      </c>
      <c r="B1095" s="17" t="s">
        <v>701</v>
      </c>
      <c r="C1095" s="17" t="s">
        <v>702</v>
      </c>
      <c r="D1095" s="17" t="s">
        <v>703</v>
      </c>
      <c r="E1095" s="17" t="s">
        <v>170</v>
      </c>
      <c r="F1095" s="17" t="s">
        <v>84</v>
      </c>
      <c r="G1095" s="17" t="s">
        <v>359</v>
      </c>
      <c r="H1095" s="18">
        <v>0</v>
      </c>
      <c r="I1095" s="18">
        <v>992.2900</v>
      </c>
      <c r="J1095" s="18">
        <f ca="1">((J1094 + H1095) - I1095)</f>
        <v>0</v>
      </c>
      <c r="K1095" s="18">
        <v>0</v>
      </c>
      <c r="L1095" s="19">
        <v>0</v>
      </c>
      <c r="M1095" s="17"/>
    </row>
    <row r="1096" ht="10.95" customHeight="true" customFormat="true" s="9">
      <c r="A1096" s="16">
        <v>45565</v>
      </c>
      <c r="B1096" s="17" t="s">
        <v>701</v>
      </c>
      <c r="C1096" s="17" t="s">
        <v>702</v>
      </c>
      <c r="D1096" s="17" t="s">
        <v>703</v>
      </c>
      <c r="E1096" s="17" t="s">
        <v>163</v>
      </c>
      <c r="F1096" s="17" t="s">
        <v>704</v>
      </c>
      <c r="G1096" s="17" t="s">
        <v>113</v>
      </c>
      <c r="H1096" s="18">
        <v>43299.9200</v>
      </c>
      <c r="I1096" s="18">
        <v>0</v>
      </c>
      <c r="J1096" s="18">
        <f ca="1">((J1095 + H1096) - I1096)</f>
        <v>0</v>
      </c>
      <c r="K1096" s="18">
        <v>0</v>
      </c>
      <c r="L1096" s="19">
        <v>0</v>
      </c>
      <c r="M1096" s="17"/>
    </row>
    <row r="1097" ht="10.95" customHeight="true" customFormat="true" s="9">
      <c r="A1097" s="16">
        <v>45565</v>
      </c>
      <c r="B1097" s="17" t="s">
        <v>701</v>
      </c>
      <c r="C1097" s="17" t="s">
        <v>702</v>
      </c>
      <c r="D1097" s="17" t="s">
        <v>703</v>
      </c>
      <c r="E1097" s="17" t="s">
        <v>163</v>
      </c>
      <c r="F1097" s="17" t="s">
        <v>84</v>
      </c>
      <c r="G1097" s="17" t="s">
        <v>148</v>
      </c>
      <c r="H1097" s="18">
        <v>301993.1800</v>
      </c>
      <c r="I1097" s="18">
        <v>0</v>
      </c>
      <c r="J1097" s="18">
        <f ca="1">((J1096 + H1097) - I1097)</f>
        <v>0</v>
      </c>
      <c r="K1097" s="18">
        <v>0</v>
      </c>
      <c r="L1097" s="19">
        <v>0</v>
      </c>
      <c r="M1097" s="17"/>
    </row>
    <row r="1098" ht="10.95" customHeight="true" customFormat="true" s="9">
      <c r="A1098" s="16">
        <v>45565</v>
      </c>
      <c r="B1098" s="17" t="s">
        <v>701</v>
      </c>
      <c r="C1098" s="17" t="s">
        <v>702</v>
      </c>
      <c r="D1098" s="17" t="s">
        <v>703</v>
      </c>
      <c r="E1098" s="17" t="s">
        <v>163</v>
      </c>
      <c r="F1098" s="17" t="s">
        <v>84</v>
      </c>
      <c r="G1098" s="17" t="s">
        <v>146</v>
      </c>
      <c r="H1098" s="18">
        <v>43464.4600</v>
      </c>
      <c r="I1098" s="18">
        <v>0</v>
      </c>
      <c r="J1098" s="18">
        <f ca="1">((J1097 + H1098) - I1098)</f>
        <v>0</v>
      </c>
      <c r="K1098" s="18">
        <v>0</v>
      </c>
      <c r="L1098" s="19">
        <v>0</v>
      </c>
      <c r="M1098" s="17"/>
    </row>
    <row r="1099" ht="10.95" customHeight="true" customFormat="true" s="9">
      <c r="A1099" s="16">
        <v>45565</v>
      </c>
      <c r="B1099" s="17" t="s">
        <v>701</v>
      </c>
      <c r="C1099" s="17" t="s">
        <v>702</v>
      </c>
      <c r="D1099" s="17" t="s">
        <v>703</v>
      </c>
      <c r="E1099" s="17" t="s">
        <v>538</v>
      </c>
      <c r="F1099" s="17" t="s">
        <v>84</v>
      </c>
      <c r="G1099" s="17" t="s">
        <v>359</v>
      </c>
      <c r="H1099" s="18">
        <v>992.2900</v>
      </c>
      <c r="I1099" s="18">
        <v>0</v>
      </c>
      <c r="J1099" s="18">
        <f ca="1">((J1098 + H1099) - I1099)</f>
        <v>0</v>
      </c>
      <c r="K1099" s="18">
        <v>0</v>
      </c>
      <c r="L1099" s="19">
        <v>0</v>
      </c>
      <c r="M1099" s="17"/>
    </row>
    <row r="1100" ht="10.95" customHeight="true" customFormat="true" s="9">
      <c r="A1100" s="16">
        <v>45565</v>
      </c>
      <c r="B1100" s="17" t="s">
        <v>701</v>
      </c>
      <c r="C1100" s="17" t="s">
        <v>702</v>
      </c>
      <c r="D1100" s="17" t="s">
        <v>703</v>
      </c>
      <c r="E1100" s="17" t="s">
        <v>538</v>
      </c>
      <c r="F1100" s="17" t="s">
        <v>84</v>
      </c>
      <c r="G1100" s="17" t="s">
        <v>114</v>
      </c>
      <c r="H1100" s="18">
        <v>0</v>
      </c>
      <c r="I1100" s="18">
        <v>1031.2400</v>
      </c>
      <c r="J1100" s="18">
        <f ca="1">((J1099 + H1100) - I1100)</f>
        <v>0</v>
      </c>
      <c r="K1100" s="18">
        <v>0</v>
      </c>
      <c r="L1100" s="19">
        <v>0</v>
      </c>
      <c r="M1100" s="17"/>
    </row>
    <row r="1101" ht="10.95" customHeight="true" customFormat="true" s="9">
      <c r="A1101" s="16">
        <v>45568</v>
      </c>
      <c r="B1101" s="17" t="s">
        <v>701</v>
      </c>
      <c r="C1101" s="17" t="s">
        <v>702</v>
      </c>
      <c r="D1101" s="17" t="s">
        <v>703</v>
      </c>
      <c r="E1101" s="17" t="s">
        <v>70</v>
      </c>
      <c r="F1101" s="17" t="s">
        <v>74</v>
      </c>
      <c r="G1101" s="17" t="s">
        <v>113</v>
      </c>
      <c r="H1101" s="18">
        <v>0</v>
      </c>
      <c r="I1101" s="18">
        <v>43299.9200</v>
      </c>
      <c r="J1101" s="18">
        <f ca="1">((J1100 + H1101) - I1101)</f>
        <v>0</v>
      </c>
      <c r="K1101" s="18">
        <v>0</v>
      </c>
      <c r="L1101" s="19">
        <v>0</v>
      </c>
      <c r="M1101" s="17"/>
    </row>
    <row r="1102" ht="10.95" customHeight="true" customFormat="true" s="9">
      <c r="A1102" s="16">
        <v>45575</v>
      </c>
      <c r="B1102" s="17" t="s">
        <v>701</v>
      </c>
      <c r="C1102" s="17" t="s">
        <v>702</v>
      </c>
      <c r="D1102" s="17" t="s">
        <v>703</v>
      </c>
      <c r="E1102" s="17" t="s">
        <v>70</v>
      </c>
      <c r="F1102" s="17" t="s">
        <v>71</v>
      </c>
      <c r="G1102" s="17" t="s">
        <v>114</v>
      </c>
      <c r="H1102" s="18">
        <v>0</v>
      </c>
      <c r="I1102" s="18">
        <v>109037.2200</v>
      </c>
      <c r="J1102" s="18">
        <f ca="1">((J1101 + H1102) - I1102)</f>
        <v>0</v>
      </c>
      <c r="K1102" s="18">
        <v>0</v>
      </c>
      <c r="L1102" s="19">
        <v>0</v>
      </c>
      <c r="M1102" s="17"/>
    </row>
    <row r="1103" ht="10.95" customHeight="true" customFormat="true" s="9">
      <c r="A1103" s="16">
        <v>45575</v>
      </c>
      <c r="B1103" s="17" t="s">
        <v>701</v>
      </c>
      <c r="C1103" s="17" t="s">
        <v>702</v>
      </c>
      <c r="D1103" s="17" t="s">
        <v>703</v>
      </c>
      <c r="E1103" s="17" t="s">
        <v>70</v>
      </c>
      <c r="F1103" s="17" t="s">
        <v>71</v>
      </c>
      <c r="G1103" s="17" t="s">
        <v>115</v>
      </c>
      <c r="H1103" s="18">
        <v>0</v>
      </c>
      <c r="I1103" s="18">
        <v>73415.6600</v>
      </c>
      <c r="J1103" s="18">
        <f ca="1">((J1102 + H1103) - I1103)</f>
        <v>0</v>
      </c>
      <c r="K1103" s="18">
        <v>0</v>
      </c>
      <c r="L1103" s="19">
        <v>0</v>
      </c>
      <c r="M1103" s="17"/>
    </row>
    <row r="1104" ht="10.95" customHeight="true" customFormat="true" s="9">
      <c r="A1104" s="16">
        <v>45575</v>
      </c>
      <c r="B1104" s="17" t="s">
        <v>701</v>
      </c>
      <c r="C1104" s="17" t="s">
        <v>702</v>
      </c>
      <c r="D1104" s="17" t="s">
        <v>703</v>
      </c>
      <c r="E1104" s="17" t="s">
        <v>70</v>
      </c>
      <c r="F1104" s="17" t="s">
        <v>71</v>
      </c>
      <c r="G1104" s="17" t="s">
        <v>116</v>
      </c>
      <c r="H1104" s="18">
        <v>0</v>
      </c>
      <c r="I1104" s="18">
        <v>116054.2300</v>
      </c>
      <c r="J1104" s="18">
        <f ca="1">((J1103 + H1104) - I1104)</f>
        <v>0</v>
      </c>
      <c r="K1104" s="18">
        <v>0</v>
      </c>
      <c r="L1104" s="19">
        <v>0</v>
      </c>
      <c r="M1104" s="17"/>
    </row>
    <row r="1105" ht="10.95" customHeight="true" customFormat="true" s="9">
      <c r="A1105" s="16">
        <v>45583</v>
      </c>
      <c r="B1105" s="17" t="s">
        <v>701</v>
      </c>
      <c r="C1105" s="17" t="s">
        <v>702</v>
      </c>
      <c r="D1105" s="17" t="s">
        <v>703</v>
      </c>
      <c r="E1105" s="17" t="s">
        <v>70</v>
      </c>
      <c r="F1105" s="17" t="s">
        <v>71</v>
      </c>
      <c r="G1105" s="17" t="s">
        <v>117</v>
      </c>
      <c r="H1105" s="18">
        <v>0</v>
      </c>
      <c r="I1105" s="18">
        <v>128068.2100</v>
      </c>
      <c r="J1105" s="18">
        <f ca="1">((J1104 + H1105) - I1105)</f>
        <v>0</v>
      </c>
      <c r="K1105" s="18">
        <v>0</v>
      </c>
      <c r="L1105" s="19">
        <v>0</v>
      </c>
      <c r="M1105" s="17"/>
    </row>
    <row r="1106" ht="10.95" customHeight="true" customFormat="true" s="9">
      <c r="A1106" s="16">
        <v>45596</v>
      </c>
      <c r="B1106" s="17" t="s">
        <v>701</v>
      </c>
      <c r="C1106" s="17" t="s">
        <v>702</v>
      </c>
      <c r="D1106" s="17" t="s">
        <v>703</v>
      </c>
      <c r="E1106" s="17" t="s">
        <v>163</v>
      </c>
      <c r="F1106" s="17" t="s">
        <v>704</v>
      </c>
      <c r="G1106" s="17" t="s">
        <v>118</v>
      </c>
      <c r="H1106" s="18">
        <v>45654.6000</v>
      </c>
      <c r="I1106" s="18">
        <v>0</v>
      </c>
      <c r="J1106" s="18">
        <f ca="1">((J1105 + H1106) - I1106)</f>
        <v>0</v>
      </c>
      <c r="K1106" s="18">
        <v>0</v>
      </c>
      <c r="L1106" s="19">
        <v>0</v>
      </c>
      <c r="M1106" s="17"/>
    </row>
    <row r="1107" ht="10.95" customHeight="true" customFormat="true" s="9">
      <c r="A1107" s="16">
        <v>45596</v>
      </c>
      <c r="B1107" s="17" t="s">
        <v>701</v>
      </c>
      <c r="C1107" s="17" t="s">
        <v>702</v>
      </c>
      <c r="D1107" s="17" t="s">
        <v>703</v>
      </c>
      <c r="E1107" s="17" t="s">
        <v>163</v>
      </c>
      <c r="F1107" s="17" t="s">
        <v>84</v>
      </c>
      <c r="G1107" s="17" t="s">
        <v>282</v>
      </c>
      <c r="H1107" s="18">
        <v>413976.8800</v>
      </c>
      <c r="I1107" s="18">
        <v>0</v>
      </c>
      <c r="J1107" s="18">
        <f ca="1">((J1106 + H1107) - I1107)</f>
        <v>0</v>
      </c>
      <c r="K1107" s="18">
        <v>0</v>
      </c>
      <c r="L1107" s="19">
        <v>0</v>
      </c>
      <c r="M1107" s="17"/>
    </row>
    <row r="1108" ht="10.95" customHeight="true" customFormat="true" s="9">
      <c r="A1108" s="16">
        <v>45598</v>
      </c>
      <c r="B1108" s="17" t="s">
        <v>701</v>
      </c>
      <c r="C1108" s="17" t="s">
        <v>702</v>
      </c>
      <c r="D1108" s="17" t="s">
        <v>703</v>
      </c>
      <c r="E1108" s="17" t="s">
        <v>70</v>
      </c>
      <c r="F1108" s="17" t="s">
        <v>74</v>
      </c>
      <c r="G1108" s="17" t="s">
        <v>118</v>
      </c>
      <c r="H1108" s="18">
        <v>0</v>
      </c>
      <c r="I1108" s="18">
        <v>45654.6000</v>
      </c>
      <c r="J1108" s="18">
        <f ca="1">((J1107 + H1108) - I1108)</f>
        <v>0</v>
      </c>
      <c r="K1108" s="18">
        <v>0</v>
      </c>
      <c r="L1108" s="19">
        <v>0</v>
      </c>
      <c r="M1108" s="17"/>
    </row>
    <row r="1109" ht="10.95" customHeight="true" customFormat="true" s="9">
      <c r="A1109" s="16">
        <v>45611</v>
      </c>
      <c r="B1109" s="17" t="s">
        <v>701</v>
      </c>
      <c r="C1109" s="17" t="s">
        <v>702</v>
      </c>
      <c r="D1109" s="17" t="s">
        <v>703</v>
      </c>
      <c r="E1109" s="17" t="s">
        <v>70</v>
      </c>
      <c r="F1109" s="17" t="s">
        <v>71</v>
      </c>
      <c r="G1109" s="17" t="s">
        <v>119</v>
      </c>
      <c r="H1109" s="18">
        <v>0</v>
      </c>
      <c r="I1109" s="18">
        <v>252122.4700</v>
      </c>
      <c r="J1109" s="18">
        <f ca="1">((J1108 + H1109) - I1109)</f>
        <v>0</v>
      </c>
      <c r="K1109" s="18">
        <v>0</v>
      </c>
      <c r="L1109" s="19">
        <v>0</v>
      </c>
      <c r="M1109" s="17"/>
    </row>
    <row r="1110" ht="10.95" customHeight="true" customFormat="true" s="9">
      <c r="A1110" s="16">
        <v>45611</v>
      </c>
      <c r="B1110" s="17" t="s">
        <v>701</v>
      </c>
      <c r="C1110" s="17" t="s">
        <v>702</v>
      </c>
      <c r="D1110" s="17" t="s">
        <v>703</v>
      </c>
      <c r="E1110" s="17" t="s">
        <v>70</v>
      </c>
      <c r="F1110" s="17" t="s">
        <v>71</v>
      </c>
      <c r="G1110" s="17" t="s">
        <v>120</v>
      </c>
      <c r="H1110" s="18">
        <v>0</v>
      </c>
      <c r="I1110" s="18">
        <v>132064.1500</v>
      </c>
      <c r="J1110" s="18">
        <f ca="1">((J1109 + H1110) - I1110)</f>
        <v>0</v>
      </c>
      <c r="K1110" s="18">
        <v>0</v>
      </c>
      <c r="L1110" s="19">
        <v>0</v>
      </c>
      <c r="M1110" s="17"/>
    </row>
    <row r="1111" ht="10.95" customHeight="true" customFormat="true" s="9">
      <c r="A1111" s="16">
        <v>45621</v>
      </c>
      <c r="B1111" s="17" t="s">
        <v>701</v>
      </c>
      <c r="C1111" s="17" t="s">
        <v>702</v>
      </c>
      <c r="D1111" s="17" t="s">
        <v>703</v>
      </c>
      <c r="E1111" s="17" t="s">
        <v>70</v>
      </c>
      <c r="F1111" s="17" t="s">
        <v>71</v>
      </c>
      <c r="G1111" s="17" t="s">
        <v>126</v>
      </c>
      <c r="H1111" s="18">
        <v>0</v>
      </c>
      <c r="I1111" s="18">
        <v>189369.9500</v>
      </c>
      <c r="J1111" s="18">
        <f ca="1">((J1110 + H1111) - I1111)</f>
        <v>0</v>
      </c>
      <c r="K1111" s="18">
        <v>0</v>
      </c>
      <c r="L1111" s="19">
        <v>0</v>
      </c>
      <c r="M1111" s="17"/>
    </row>
    <row r="1112" ht="10.95" customHeight="true" customFormat="true" s="9">
      <c r="A1112" s="16">
        <v>45626</v>
      </c>
      <c r="B1112" s="17" t="s">
        <v>701</v>
      </c>
      <c r="C1112" s="17" t="s">
        <v>702</v>
      </c>
      <c r="D1112" s="17" t="s">
        <v>703</v>
      </c>
      <c r="E1112" s="17" t="s">
        <v>163</v>
      </c>
      <c r="F1112" s="17" t="s">
        <v>704</v>
      </c>
      <c r="G1112" s="17" t="s">
        <v>127</v>
      </c>
      <c r="H1112" s="18">
        <v>46075.2300</v>
      </c>
      <c r="I1112" s="18">
        <v>0</v>
      </c>
      <c r="J1112" s="18">
        <f ca="1">((J1111 + H1112) - I1112)</f>
        <v>0</v>
      </c>
      <c r="K1112" s="18">
        <v>0</v>
      </c>
      <c r="L1112" s="19">
        <v>0</v>
      </c>
      <c r="M1112" s="17"/>
    </row>
    <row r="1113" ht="10.95" customHeight="true" customFormat="true" s="9">
      <c r="A1113" s="16">
        <v>45626</v>
      </c>
      <c r="B1113" s="17" t="s">
        <v>701</v>
      </c>
      <c r="C1113" s="17" t="s">
        <v>702</v>
      </c>
      <c r="D1113" s="17" t="s">
        <v>703</v>
      </c>
      <c r="E1113" s="17" t="s">
        <v>163</v>
      </c>
      <c r="F1113" s="17" t="s">
        <v>84</v>
      </c>
      <c r="G1113" s="17" t="s">
        <v>236</v>
      </c>
      <c r="H1113" s="18">
        <v>173749.7100</v>
      </c>
      <c r="I1113" s="18">
        <v>0</v>
      </c>
      <c r="J1113" s="18">
        <f ca="1">((J1112 + H1113) - I1113)</f>
        <v>0</v>
      </c>
      <c r="K1113" s="18">
        <v>0</v>
      </c>
      <c r="L1113" s="19">
        <v>0</v>
      </c>
      <c r="M1113" s="17"/>
    </row>
    <row r="1114" ht="10.95" customHeight="true" customFormat="true" s="9">
      <c r="A1114" s="16">
        <v>45626</v>
      </c>
      <c r="B1114" s="17" t="s">
        <v>701</v>
      </c>
      <c r="C1114" s="17" t="s">
        <v>702</v>
      </c>
      <c r="D1114" s="17" t="s">
        <v>703</v>
      </c>
      <c r="E1114" s="17" t="s">
        <v>163</v>
      </c>
      <c r="F1114" s="17" t="s">
        <v>84</v>
      </c>
      <c r="G1114" s="17" t="s">
        <v>274</v>
      </c>
      <c r="H1114" s="18">
        <v>228146.1300</v>
      </c>
      <c r="I1114" s="18">
        <v>0</v>
      </c>
      <c r="J1114" s="18">
        <f ca="1">((J1113 + H1114) - I1114)</f>
        <v>0</v>
      </c>
      <c r="K1114" s="18">
        <v>0</v>
      </c>
      <c r="L1114" s="19">
        <v>0</v>
      </c>
      <c r="M1114" s="17"/>
    </row>
    <row r="1115" ht="10.95" customHeight="true" customFormat="true" s="9">
      <c r="A1115" s="16">
        <v>45629</v>
      </c>
      <c r="B1115" s="17" t="s">
        <v>701</v>
      </c>
      <c r="C1115" s="17" t="s">
        <v>702</v>
      </c>
      <c r="D1115" s="17" t="s">
        <v>703</v>
      </c>
      <c r="E1115" s="17" t="s">
        <v>70</v>
      </c>
      <c r="F1115" s="17" t="s">
        <v>74</v>
      </c>
      <c r="G1115" s="17" t="s">
        <v>127</v>
      </c>
      <c r="H1115" s="18">
        <v>0</v>
      </c>
      <c r="I1115" s="18">
        <v>46075.2300</v>
      </c>
      <c r="J1115" s="18">
        <f ca="1">((J1114 + H1115) - I1115)</f>
        <v>0</v>
      </c>
      <c r="K1115" s="18">
        <v>0</v>
      </c>
      <c r="L1115" s="19">
        <v>0</v>
      </c>
      <c r="M1115" s="17"/>
    </row>
    <row r="1116" ht="10.95" customHeight="true" customFormat="true" s="9">
      <c r="A1116" s="16">
        <v>45635</v>
      </c>
      <c r="B1116" s="17" t="s">
        <v>701</v>
      </c>
      <c r="C1116" s="17" t="s">
        <v>702</v>
      </c>
      <c r="D1116" s="17" t="s">
        <v>703</v>
      </c>
      <c r="E1116" s="17" t="s">
        <v>70</v>
      </c>
      <c r="F1116" s="17" t="s">
        <v>71</v>
      </c>
      <c r="G1116" s="17" t="s">
        <v>128</v>
      </c>
      <c r="H1116" s="18">
        <v>0</v>
      </c>
      <c r="I1116" s="18">
        <v>150521.8000</v>
      </c>
      <c r="J1116" s="18">
        <f ca="1">((J1115 + H1116) - I1116)</f>
        <v>0</v>
      </c>
      <c r="K1116" s="18">
        <v>0</v>
      </c>
      <c r="L1116" s="19">
        <v>0</v>
      </c>
      <c r="M1116" s="17"/>
    </row>
    <row r="1117" ht="10.95" customHeight="true" customFormat="true" s="9">
      <c r="A1117" s="16">
        <v>45650</v>
      </c>
      <c r="B1117" s="17" t="s">
        <v>701</v>
      </c>
      <c r="C1117" s="17" t="s">
        <v>702</v>
      </c>
      <c r="D1117" s="17" t="s">
        <v>703</v>
      </c>
      <c r="E1117" s="17" t="s">
        <v>70</v>
      </c>
      <c r="F1117" s="17" t="s">
        <v>71</v>
      </c>
      <c r="G1117" s="17" t="s">
        <v>128</v>
      </c>
      <c r="H1117" s="18">
        <v>0</v>
      </c>
      <c r="I1117" s="18">
        <v>234428.4700</v>
      </c>
      <c r="J1117" s="18">
        <f ca="1">((J1116 + H1117) - I1117)</f>
        <v>0</v>
      </c>
      <c r="K1117" s="18">
        <v>0</v>
      </c>
      <c r="L1117" s="19">
        <v>0</v>
      </c>
      <c r="M1117" s="17"/>
    </row>
    <row r="1118" ht="10.95" customHeight="true" customFormat="true" s="9">
      <c r="A1118" s="16">
        <v>45650</v>
      </c>
      <c r="B1118" s="17" t="s">
        <v>701</v>
      </c>
      <c r="C1118" s="17" t="s">
        <v>702</v>
      </c>
      <c r="D1118" s="17" t="s">
        <v>703</v>
      </c>
      <c r="E1118" s="17" t="s">
        <v>70</v>
      </c>
      <c r="F1118" s="17" t="s">
        <v>71</v>
      </c>
      <c r="G1118" s="17" t="s">
        <v>140</v>
      </c>
      <c r="H1118" s="18">
        <v>0</v>
      </c>
      <c r="I1118" s="18">
        <v>138362.9500</v>
      </c>
      <c r="J1118" s="18">
        <f ca="1">((J1117 + H1118) - I1118)</f>
        <v>0</v>
      </c>
      <c r="K1118" s="18">
        <v>0</v>
      </c>
      <c r="L1118" s="19">
        <v>0</v>
      </c>
      <c r="M1118" s="17"/>
    </row>
    <row r="1119" ht="10.95" customHeight="true" customFormat="true" s="9">
      <c r="A1119" s="16">
        <v>45653</v>
      </c>
      <c r="B1119" s="17" t="s">
        <v>701</v>
      </c>
      <c r="C1119" s="17" t="s">
        <v>702</v>
      </c>
      <c r="D1119" s="17" t="s">
        <v>703</v>
      </c>
      <c r="E1119" s="17" t="s">
        <v>70</v>
      </c>
      <c r="F1119" s="17" t="s">
        <v>74</v>
      </c>
      <c r="G1119" s="17" t="s">
        <v>141</v>
      </c>
      <c r="H1119" s="18">
        <v>0</v>
      </c>
      <c r="I1119" s="18">
        <v>48301.1700</v>
      </c>
      <c r="J1119" s="18">
        <f ca="1">((J1118 + H1119) - I1119)</f>
        <v>0</v>
      </c>
      <c r="K1119" s="18">
        <v>0</v>
      </c>
      <c r="L1119" s="19">
        <v>0</v>
      </c>
      <c r="M1119" s="17"/>
    </row>
    <row r="1120" ht="10.95" customHeight="true" customFormat="true" s="9">
      <c r="A1120" s="16">
        <v>45657</v>
      </c>
      <c r="B1120" s="17" t="s">
        <v>701</v>
      </c>
      <c r="C1120" s="17" t="s">
        <v>702</v>
      </c>
      <c r="D1120" s="17" t="s">
        <v>703</v>
      </c>
      <c r="E1120" s="17" t="s">
        <v>163</v>
      </c>
      <c r="F1120" s="17" t="s">
        <v>704</v>
      </c>
      <c r="G1120" s="17" t="s">
        <v>141</v>
      </c>
      <c r="H1120" s="18">
        <v>48301.1700</v>
      </c>
      <c r="I1120" s="18">
        <v>0</v>
      </c>
      <c r="J1120" s="18">
        <f ca="1">((J1119 + H1120) - I1120)</f>
        <v>0</v>
      </c>
      <c r="K1120" s="18">
        <v>0</v>
      </c>
      <c r="L1120" s="19">
        <v>0</v>
      </c>
      <c r="M1120" s="17"/>
    </row>
    <row r="1121" ht="10.95" customHeight="true" customFormat="true" s="9">
      <c r="A1121" s="16">
        <v>45666</v>
      </c>
      <c r="B1121" s="17" t="s">
        <v>701</v>
      </c>
      <c r="C1121" s="17" t="s">
        <v>702</v>
      </c>
      <c r="D1121" s="17" t="s">
        <v>703</v>
      </c>
      <c r="E1121" s="17" t="s">
        <v>70</v>
      </c>
      <c r="F1121" s="17" t="s">
        <v>71</v>
      </c>
      <c r="G1121" s="17" t="s">
        <v>142</v>
      </c>
      <c r="H1121" s="18">
        <v>0</v>
      </c>
      <c r="I1121" s="18">
        <v>129054.9600</v>
      </c>
      <c r="J1121" s="18">
        <f ca="1">((J1120 + H1121) - I1121)</f>
        <v>0</v>
      </c>
      <c r="K1121" s="18">
        <v>0</v>
      </c>
      <c r="L1121" s="19">
        <v>0</v>
      </c>
      <c r="M1121" s="17"/>
    </row>
    <row r="1122" ht="10.95" customHeight="true" customFormat="true" s="9">
      <c r="A1122" s="16">
        <v>45666</v>
      </c>
      <c r="B1122" s="17" t="s">
        <v>701</v>
      </c>
      <c r="C1122" s="17" t="s">
        <v>702</v>
      </c>
      <c r="D1122" s="17" t="s">
        <v>703</v>
      </c>
      <c r="E1122" s="17" t="s">
        <v>70</v>
      </c>
      <c r="F1122" s="17" t="s">
        <v>71</v>
      </c>
      <c r="G1122" s="17" t="s">
        <v>143</v>
      </c>
      <c r="H1122" s="18">
        <v>0</v>
      </c>
      <c r="I1122" s="18">
        <v>288.9900</v>
      </c>
      <c r="J1122" s="18">
        <f ca="1">((J1121 + H1122) - I1122)</f>
        <v>0</v>
      </c>
      <c r="K1122" s="18">
        <v>0</v>
      </c>
      <c r="L1122" s="19">
        <v>0</v>
      </c>
      <c r="M1122" s="17"/>
    </row>
    <row r="1123" ht="10.95" customHeight="true" customFormat="true" s="9">
      <c r="A1123" s="16">
        <v>45666</v>
      </c>
      <c r="B1123" s="17" t="s">
        <v>701</v>
      </c>
      <c r="C1123" s="17" t="s">
        <v>702</v>
      </c>
      <c r="D1123" s="17" t="s">
        <v>703</v>
      </c>
      <c r="E1123" s="17" t="s">
        <v>70</v>
      </c>
      <c r="F1123" s="17" t="s">
        <v>71</v>
      </c>
      <c r="G1123" s="17" t="s">
        <v>144</v>
      </c>
      <c r="H1123" s="18">
        <v>0</v>
      </c>
      <c r="I1123" s="18">
        <v>1945.3400</v>
      </c>
      <c r="J1123" s="18">
        <f ca="1">((J1122 + H1123) - I1123)</f>
        <v>0</v>
      </c>
      <c r="K1123" s="18">
        <v>0</v>
      </c>
      <c r="L1123" s="19">
        <v>0</v>
      </c>
      <c r="M1123" s="17"/>
    </row>
    <row r="1124" ht="10.95" customHeight="true" customFormat="true" s="9">
      <c r="A1124" s="16">
        <v>45685</v>
      </c>
      <c r="B1124" s="17" t="s">
        <v>701</v>
      </c>
      <c r="C1124" s="17" t="s">
        <v>702</v>
      </c>
      <c r="D1124" s="17" t="s">
        <v>703</v>
      </c>
      <c r="E1124" s="17" t="s">
        <v>70</v>
      </c>
      <c r="F1124" s="17" t="s">
        <v>74</v>
      </c>
      <c r="G1124" s="17" t="s">
        <v>145</v>
      </c>
      <c r="H1124" s="18">
        <v>0</v>
      </c>
      <c r="I1124" s="18">
        <v>48287.4100</v>
      </c>
      <c r="J1124" s="18">
        <f ca="1">((J1123 + H1124) - I1124)</f>
        <v>0</v>
      </c>
      <c r="K1124" s="18">
        <v>0</v>
      </c>
      <c r="L1124" s="19">
        <v>0</v>
      </c>
      <c r="M1124" s="17"/>
    </row>
    <row r="1125" ht="10.95" customHeight="true" customFormat="true" s="9">
      <c r="A1125" s="16">
        <v>45688</v>
      </c>
      <c r="B1125" s="17" t="s">
        <v>701</v>
      </c>
      <c r="C1125" s="17" t="s">
        <v>702</v>
      </c>
      <c r="D1125" s="17" t="s">
        <v>703</v>
      </c>
      <c r="E1125" s="17" t="s">
        <v>163</v>
      </c>
      <c r="F1125" s="17" t="s">
        <v>704</v>
      </c>
      <c r="G1125" s="17" t="s">
        <v>145</v>
      </c>
      <c r="H1125" s="18">
        <v>48287.4100</v>
      </c>
      <c r="I1125" s="18">
        <v>0</v>
      </c>
      <c r="J1125" s="18">
        <f ca="1">((J1124 + H1125) - I1125)</f>
        <v>0</v>
      </c>
      <c r="K1125" s="18">
        <v>0</v>
      </c>
      <c r="L1125" s="19">
        <v>0</v>
      </c>
      <c r="M1125" s="17"/>
    </row>
    <row r="1126" ht="10.95" customHeight="true" customFormat="true" s="9">
      <c r="A1126" s="16">
        <v>45688</v>
      </c>
      <c r="B1126" s="17" t="s">
        <v>701</v>
      </c>
      <c r="C1126" s="17" t="s">
        <v>702</v>
      </c>
      <c r="D1126" s="17" t="s">
        <v>703</v>
      </c>
      <c r="E1126" s="17" t="s">
        <v>163</v>
      </c>
      <c r="F1126" s="17" t="s">
        <v>84</v>
      </c>
      <c r="G1126" s="17" t="s">
        <v>240</v>
      </c>
      <c r="H1126" s="18">
        <v>23622.2000</v>
      </c>
      <c r="I1126" s="18">
        <v>0</v>
      </c>
      <c r="J1126" s="18">
        <f ca="1">((J1125 + H1126) - I1126)</f>
        <v>0</v>
      </c>
      <c r="K1126" s="18">
        <v>0</v>
      </c>
      <c r="L1126" s="19">
        <v>0</v>
      </c>
      <c r="M1126" s="17"/>
    </row>
    <row r="1127" ht="10.95" customHeight="true" customFormat="true" s="9">
      <c r="A1127" s="16">
        <v>45688</v>
      </c>
      <c r="B1127" s="17" t="s">
        <v>701</v>
      </c>
      <c r="C1127" s="17" t="s">
        <v>702</v>
      </c>
      <c r="D1127" s="17" t="s">
        <v>703</v>
      </c>
      <c r="E1127" s="17" t="s">
        <v>163</v>
      </c>
      <c r="F1127" s="17" t="s">
        <v>84</v>
      </c>
      <c r="G1127" s="17" t="s">
        <v>242</v>
      </c>
      <c r="H1127" s="18">
        <v>241147.3100</v>
      </c>
      <c r="I1127" s="18">
        <v>0</v>
      </c>
      <c r="J1127" s="18">
        <f ca="1">((J1126 + H1127) - I1127)</f>
        <v>0</v>
      </c>
      <c r="K1127" s="18">
        <v>0</v>
      </c>
      <c r="L1127" s="19">
        <v>0</v>
      </c>
      <c r="M1127" s="17"/>
    </row>
    <row r="1128" ht="10.95" customHeight="true" customFormat="true" s="9">
      <c r="A1128" s="16">
        <v>45688</v>
      </c>
      <c r="B1128" s="17" t="s">
        <v>701</v>
      </c>
      <c r="C1128" s="17" t="s">
        <v>702</v>
      </c>
      <c r="D1128" s="17" t="s">
        <v>703</v>
      </c>
      <c r="E1128" s="17" t="s">
        <v>163</v>
      </c>
      <c r="F1128" s="17" t="s">
        <v>84</v>
      </c>
      <c r="G1128" s="17" t="s">
        <v>222</v>
      </c>
      <c r="H1128" s="18">
        <v>202246.9700</v>
      </c>
      <c r="I1128" s="18">
        <v>0</v>
      </c>
      <c r="J1128" s="18">
        <f ca="1">((J1127 + H1128) - I1128)</f>
        <v>0</v>
      </c>
      <c r="K1128" s="18">
        <v>0</v>
      </c>
      <c r="L1128" s="19">
        <v>0</v>
      </c>
      <c r="M1128" s="17"/>
    </row>
    <row r="1129" ht="10.95" customHeight="true" customFormat="true" s="9">
      <c r="A1129" s="16">
        <v>45712</v>
      </c>
      <c r="B1129" s="17" t="s">
        <v>701</v>
      </c>
      <c r="C1129" s="17" t="s">
        <v>702</v>
      </c>
      <c r="D1129" s="17" t="s">
        <v>703</v>
      </c>
      <c r="E1129" s="17" t="s">
        <v>70</v>
      </c>
      <c r="F1129" s="17" t="s">
        <v>71</v>
      </c>
      <c r="G1129" s="17" t="s">
        <v>146</v>
      </c>
      <c r="H1129" s="18">
        <v>0</v>
      </c>
      <c r="I1129" s="18">
        <v>43464.4600</v>
      </c>
      <c r="J1129" s="18">
        <f ca="1">((J1128 + H1129) - I1129)</f>
        <v>0</v>
      </c>
      <c r="K1129" s="18">
        <v>0</v>
      </c>
      <c r="L1129" s="19">
        <v>0</v>
      </c>
      <c r="M1129" s="17"/>
    </row>
    <row r="1130" ht="10.95" customHeight="true" customFormat="true" s="9">
      <c r="A1130" s="16">
        <v>45716</v>
      </c>
      <c r="B1130" s="17" t="s">
        <v>701</v>
      </c>
      <c r="C1130" s="17" t="s">
        <v>702</v>
      </c>
      <c r="D1130" s="17" t="s">
        <v>703</v>
      </c>
      <c r="E1130" s="17" t="s">
        <v>163</v>
      </c>
      <c r="F1130" s="17" t="s">
        <v>704</v>
      </c>
      <c r="G1130" s="17" t="s">
        <v>147</v>
      </c>
      <c r="H1130" s="18">
        <v>48246.6400</v>
      </c>
      <c r="I1130" s="18">
        <v>0</v>
      </c>
      <c r="J1130" s="18">
        <f ca="1">((J1129 + H1130) - I1130)</f>
        <v>0</v>
      </c>
      <c r="K1130" s="18">
        <v>0</v>
      </c>
      <c r="L1130" s="19">
        <v>0</v>
      </c>
      <c r="M1130" s="17"/>
    </row>
    <row r="1131" ht="10.95" customHeight="true" customFormat="true" s="9">
      <c r="A1131" s="16">
        <v>45716</v>
      </c>
      <c r="B1131" s="17" t="s">
        <v>701</v>
      </c>
      <c r="C1131" s="17" t="s">
        <v>702</v>
      </c>
      <c r="D1131" s="17" t="s">
        <v>703</v>
      </c>
      <c r="E1131" s="17" t="s">
        <v>170</v>
      </c>
      <c r="F1131" s="17" t="s">
        <v>84</v>
      </c>
      <c r="G1131" s="17" t="s">
        <v>172</v>
      </c>
      <c r="H1131" s="18">
        <v>0</v>
      </c>
      <c r="I1131" s="18">
        <v>64328.8500</v>
      </c>
      <c r="J1131" s="18">
        <f ca="1">((J1130 + H1131) - I1131)</f>
        <v>0</v>
      </c>
      <c r="K1131" s="18">
        <v>0</v>
      </c>
      <c r="L1131" s="19">
        <v>0</v>
      </c>
      <c r="M1131" s="17"/>
    </row>
    <row r="1132" ht="10.95" customHeight="true" customFormat="true" s="9">
      <c r="A1132" s="16">
        <v>45720</v>
      </c>
      <c r="B1132" s="17" t="s">
        <v>701</v>
      </c>
      <c r="C1132" s="17" t="s">
        <v>702</v>
      </c>
      <c r="D1132" s="17" t="s">
        <v>703</v>
      </c>
      <c r="E1132" s="17" t="s">
        <v>70</v>
      </c>
      <c r="F1132" s="17" t="s">
        <v>74</v>
      </c>
      <c r="G1132" s="17" t="s">
        <v>147</v>
      </c>
      <c r="H1132" s="18">
        <v>0</v>
      </c>
      <c r="I1132" s="18">
        <v>48246.6400</v>
      </c>
      <c r="J1132" s="18">
        <f ca="1">((J1131 + H1132) - I1132)</f>
        <v>0</v>
      </c>
      <c r="K1132" s="18">
        <v>0</v>
      </c>
      <c r="L1132" s="19">
        <v>0</v>
      </c>
      <c r="M1132" s="17"/>
    </row>
    <row r="1133" ht="10.95" customHeight="true" customFormat="true" s="9">
      <c r="A1133" s="16">
        <v>45735</v>
      </c>
      <c r="B1133" s="17" t="s">
        <v>701</v>
      </c>
      <c r="C1133" s="17" t="s">
        <v>702</v>
      </c>
      <c r="D1133" s="17" t="s">
        <v>703</v>
      </c>
      <c r="E1133" s="17" t="s">
        <v>70</v>
      </c>
      <c r="F1133" s="17" t="s">
        <v>71</v>
      </c>
      <c r="G1133" s="17" t="s">
        <v>148</v>
      </c>
      <c r="H1133" s="18">
        <v>0</v>
      </c>
      <c r="I1133" s="18">
        <v>43299.9200</v>
      </c>
      <c r="J1133" s="18">
        <f ca="1">((J1132 + H1133) - I1133)</f>
        <v>0</v>
      </c>
      <c r="K1133" s="18">
        <v>0</v>
      </c>
      <c r="L1133" s="19">
        <v>0</v>
      </c>
      <c r="M1133" s="17"/>
    </row>
    <row r="1134" ht="10.95" customHeight="true" customFormat="true" s="9">
      <c r="A1134" s="16">
        <v>45747</v>
      </c>
      <c r="B1134" s="17" t="s">
        <v>701</v>
      </c>
      <c r="C1134" s="17" t="s">
        <v>702</v>
      </c>
      <c r="D1134" s="17" t="s">
        <v>703</v>
      </c>
      <c r="E1134" s="17" t="s">
        <v>163</v>
      </c>
      <c r="F1134" s="17" t="s">
        <v>704</v>
      </c>
      <c r="G1134" s="17" t="s">
        <v>173</v>
      </c>
      <c r="H1134" s="18">
        <v>48000.0000</v>
      </c>
      <c r="I1134" s="18">
        <v>0</v>
      </c>
      <c r="J1134" s="18">
        <f ca="1">((J1133 + H1134) - I1134)</f>
        <v>0</v>
      </c>
      <c r="K1134" s="18">
        <v>0</v>
      </c>
      <c r="L1134" s="19">
        <v>0</v>
      </c>
      <c r="M1134" s="17"/>
    </row>
    <row r="1135" ht="10.95" customHeight="true" customFormat="true" s="9">
      <c r="A1135" s="16">
        <v>45747</v>
      </c>
      <c r="B1135" s="17" t="s">
        <v>701</v>
      </c>
      <c r="C1135" s="17" t="s">
        <v>702</v>
      </c>
      <c r="D1135" s="17" t="s">
        <v>703</v>
      </c>
      <c r="E1135" s="17"/>
      <c r="F1135" s="17" t="s">
        <v>23</v>
      </c>
      <c r="G1135" s="17"/>
      <c r="H1135" s="18">
        <v>65697.7300</v>
      </c>
      <c r="I1135" s="18">
        <v>0</v>
      </c>
      <c r="J1135" s="18">
        <f ca="1">((J1134 + H1135) - I1135)</f>
        <v>0</v>
      </c>
      <c r="K1135" s="18">
        <v>0</v>
      </c>
      <c r="L1135" s="19">
        <v>0</v>
      </c>
      <c r="M1135" s="17"/>
    </row>
    <row r="1136" ht="10.95" customHeight="true" customFormat="true" s="9">
      <c r="A1136" s="20" t="s">
        <v>705</v>
      </c>
      <c r="B1136" s="20"/>
      <c r="C1136" s="20"/>
      <c r="D1136" s="20"/>
      <c r="E1136" s="20"/>
      <c r="F1136" s="20"/>
      <c r="G1136" s="20"/>
      <c r="H1136" s="21">
        <f ca="1">SUM(H1052:H1135)</f>
        <v>0</v>
      </c>
      <c r="I1136" s="21">
        <f ca="1">SUM(I1052:I1135)</f>
        <v>0</v>
      </c>
      <c r="J1136" s="21">
        <f ca="1">J1135</f>
        <v>0</v>
      </c>
      <c r="K1136" s="21">
        <f ca="1">SUM(K1052:K1135)</f>
        <v>0</v>
      </c>
      <c r="L1136" s="20"/>
      <c r="M1136" s="20"/>
    </row>
    <row r="1137" ht="10.95" customHeight="true" customFormat="true" s="9">
      <c r="A1137" s="20" t="s">
        <v>25</v>
      </c>
      <c r="B1137" s="20"/>
      <c r="C1137" s="20"/>
      <c r="D1137" s="20"/>
      <c r="E1137" s="20"/>
      <c r="F1137" s="20"/>
      <c r="G1137" s="20"/>
      <c r="H1137" s="21">
        <v>341629.9700</v>
      </c>
      <c r="I1137" s="21">
        <v>0</v>
      </c>
      <c r="J1137" s="21">
        <v>0</v>
      </c>
      <c r="K1137" s="21">
        <v>0</v>
      </c>
      <c r="L1137" s="20"/>
      <c r="M1137" s="20"/>
    </row>
    <row r="1138" ht="10.95" customHeight="true" customFormat="true" s="9">
      <c r="A1138" s="10" t="s">
        <v>26</v>
      </c>
      <c r="B1138" s="10"/>
      <c r="C1138" s="10"/>
      <c r="D1138" s="10"/>
      <c r="E1138" s="10"/>
      <c r="F1138" s="10"/>
      <c r="G1138" s="10"/>
      <c r="H1138" s="11">
        <v>1588939.3300</v>
      </c>
      <c r="I1138" s="11">
        <v>0</v>
      </c>
      <c r="J1138" s="11">
        <f ca="1">J1135</f>
        <v>0</v>
      </c>
      <c r="K1138" s="11">
        <v>0</v>
      </c>
      <c r="L1138" s="10"/>
      <c r="M1138" s="10"/>
    </row>
    <row r="1139" ht="13.35" customHeight="true"/>
    <row r="1140" ht="12.1" customHeight="true" customFormat="true" s="5">
      <c r="A1140" s="8" t="s">
        <v>706</v>
      </c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</row>
    <row r="1141" ht="10.95" customHeight="true" customFormat="true" s="9">
      <c r="A1141" s="10" t="s">
        <v>17</v>
      </c>
      <c r="B1141" s="10"/>
      <c r="C1141" s="10"/>
      <c r="D1141" s="10"/>
      <c r="E1141" s="10"/>
      <c r="F1141" s="10"/>
      <c r="G1141" s="10"/>
      <c r="H1141" s="11">
        <v>1658.1300</v>
      </c>
      <c r="I1141" s="11">
        <v>0</v>
      </c>
      <c r="J1141" s="11">
        <f ca="1">(H1141 - I1141)</f>
        <v>0</v>
      </c>
      <c r="K1141" s="11">
        <v>0</v>
      </c>
      <c r="L1141" s="10"/>
      <c r="M1141" s="10"/>
    </row>
    <row r="1142" ht="10.95" customHeight="true" customFormat="true" s="9">
      <c r="A1142" s="12">
        <v>45412</v>
      </c>
      <c r="B1142" s="13" t="s">
        <v>707</v>
      </c>
      <c r="C1142" s="13" t="s">
        <v>708</v>
      </c>
      <c r="D1142" s="13" t="s">
        <v>709</v>
      </c>
      <c r="E1142" s="13" t="s">
        <v>154</v>
      </c>
      <c r="F1142" s="13" t="s">
        <v>423</v>
      </c>
      <c r="G1142" s="13" t="s">
        <v>424</v>
      </c>
      <c r="H1142" s="14">
        <v>0</v>
      </c>
      <c r="I1142" s="14">
        <v>572.8900</v>
      </c>
      <c r="J1142" s="14">
        <f ca="1">((J1141 + H1142) - I1142)</f>
        <v>0</v>
      </c>
      <c r="K1142" s="14">
        <v>0</v>
      </c>
      <c r="L1142" s="15">
        <v>0</v>
      </c>
      <c r="M1142" s="13" t="s">
        <v>157</v>
      </c>
    </row>
    <row r="1143" ht="10.95" customHeight="true" customFormat="true" s="9">
      <c r="A1143" s="16">
        <v>45443</v>
      </c>
      <c r="B1143" s="17" t="s">
        <v>707</v>
      </c>
      <c r="C1143" s="17" t="s">
        <v>708</v>
      </c>
      <c r="D1143" s="17" t="s">
        <v>709</v>
      </c>
      <c r="E1143" s="17" t="s">
        <v>154</v>
      </c>
      <c r="F1143" s="17" t="s">
        <v>425</v>
      </c>
      <c r="G1143" s="17" t="s">
        <v>426</v>
      </c>
      <c r="H1143" s="18">
        <v>0</v>
      </c>
      <c r="I1143" s="18">
        <v>591.9900</v>
      </c>
      <c r="J1143" s="18">
        <f ca="1">((J1142 + H1143) - I1143)</f>
        <v>0</v>
      </c>
      <c r="K1143" s="18">
        <v>0</v>
      </c>
      <c r="L1143" s="19">
        <v>0</v>
      </c>
      <c r="M1143" s="17" t="s">
        <v>157</v>
      </c>
    </row>
    <row r="1144" ht="10.95" customHeight="true" customFormat="true" s="9">
      <c r="A1144" s="16">
        <v>45473</v>
      </c>
      <c r="B1144" s="17" t="s">
        <v>707</v>
      </c>
      <c r="C1144" s="17" t="s">
        <v>708</v>
      </c>
      <c r="D1144" s="17" t="s">
        <v>709</v>
      </c>
      <c r="E1144" s="17" t="s">
        <v>154</v>
      </c>
      <c r="F1144" s="17" t="s">
        <v>427</v>
      </c>
      <c r="G1144" s="17" t="s">
        <v>428</v>
      </c>
      <c r="H1144" s="18">
        <v>0</v>
      </c>
      <c r="I1144" s="18">
        <v>493.2500</v>
      </c>
      <c r="J1144" s="18">
        <f ca="1">((J1143 + H1144) - I1144)</f>
        <v>0</v>
      </c>
      <c r="K1144" s="18">
        <v>0</v>
      </c>
      <c r="L1144" s="19">
        <v>0</v>
      </c>
      <c r="M1144" s="17" t="s">
        <v>157</v>
      </c>
    </row>
    <row r="1145" ht="10.95" customHeight="true" customFormat="true" s="9">
      <c r="A1145" s="16">
        <v>45747</v>
      </c>
      <c r="B1145" s="17" t="s">
        <v>707</v>
      </c>
      <c r="C1145" s="17" t="s">
        <v>708</v>
      </c>
      <c r="D1145" s="17" t="s">
        <v>709</v>
      </c>
      <c r="E1145" s="17" t="s">
        <v>154</v>
      </c>
      <c r="F1145" s="17" t="s">
        <v>432</v>
      </c>
      <c r="G1145" s="17" t="s">
        <v>156</v>
      </c>
      <c r="H1145" s="18">
        <v>1276.2400</v>
      </c>
      <c r="I1145" s="18">
        <v>0</v>
      </c>
      <c r="J1145" s="18">
        <f ca="1">((J1144 + H1145) - I1145)</f>
        <v>0</v>
      </c>
      <c r="K1145" s="18">
        <v>0</v>
      </c>
      <c r="L1145" s="19">
        <v>0</v>
      </c>
      <c r="M1145" s="17" t="s">
        <v>157</v>
      </c>
    </row>
    <row r="1146" ht="10.95" customHeight="true" customFormat="true" s="9">
      <c r="A1146" s="16">
        <v>45747</v>
      </c>
      <c r="B1146" s="17" t="s">
        <v>707</v>
      </c>
      <c r="C1146" s="17" t="s">
        <v>708</v>
      </c>
      <c r="D1146" s="17" t="s">
        <v>709</v>
      </c>
      <c r="E1146" s="17" t="s">
        <v>154</v>
      </c>
      <c r="F1146" s="17" t="s">
        <v>490</v>
      </c>
      <c r="G1146" s="17" t="s">
        <v>156</v>
      </c>
      <c r="H1146" s="18">
        <v>463.9100</v>
      </c>
      <c r="I1146" s="18">
        <v>0</v>
      </c>
      <c r="J1146" s="18">
        <f ca="1">((J1145 + H1146) - I1146)</f>
        <v>0</v>
      </c>
      <c r="K1146" s="18">
        <v>0</v>
      </c>
      <c r="L1146" s="19">
        <v>0</v>
      </c>
      <c r="M1146" s="17" t="s">
        <v>157</v>
      </c>
    </row>
    <row r="1147" ht="10.95" customHeight="true" customFormat="true" s="9">
      <c r="A1147" s="20" t="s">
        <v>710</v>
      </c>
      <c r="B1147" s="20"/>
      <c r="C1147" s="20"/>
      <c r="D1147" s="20"/>
      <c r="E1147" s="20"/>
      <c r="F1147" s="20"/>
      <c r="G1147" s="20"/>
      <c r="H1147" s="21">
        <f ca="1">SUM(H1142:H1146)</f>
        <v>0</v>
      </c>
      <c r="I1147" s="21">
        <f ca="1">SUM(I1142:I1146)</f>
        <v>0</v>
      </c>
      <c r="J1147" s="21">
        <f ca="1">J1146</f>
        <v>0</v>
      </c>
      <c r="K1147" s="21">
        <f ca="1">SUM(K1142:K1146)</f>
        <v>0</v>
      </c>
      <c r="L1147" s="20"/>
      <c r="M1147" s="20"/>
    </row>
    <row r="1148" ht="10.95" customHeight="true" customFormat="true" s="9">
      <c r="A1148" s="20" t="s">
        <v>25</v>
      </c>
      <c r="B1148" s="20"/>
      <c r="C1148" s="20"/>
      <c r="D1148" s="20"/>
      <c r="E1148" s="20"/>
      <c r="F1148" s="20"/>
      <c r="G1148" s="20"/>
      <c r="H1148" s="21">
        <v>82.0200</v>
      </c>
      <c r="I1148" s="21">
        <v>0</v>
      </c>
      <c r="J1148" s="21">
        <v>0</v>
      </c>
      <c r="K1148" s="21">
        <v>0</v>
      </c>
      <c r="L1148" s="20"/>
      <c r="M1148" s="20"/>
    </row>
    <row r="1149" ht="10.95" customHeight="true" customFormat="true" s="9">
      <c r="A1149" s="10" t="s">
        <v>26</v>
      </c>
      <c r="B1149" s="10"/>
      <c r="C1149" s="10"/>
      <c r="D1149" s="10"/>
      <c r="E1149" s="10"/>
      <c r="F1149" s="10"/>
      <c r="G1149" s="10"/>
      <c r="H1149" s="11">
        <v>1740.1500</v>
      </c>
      <c r="I1149" s="11">
        <v>0</v>
      </c>
      <c r="J1149" s="11">
        <f ca="1">J1146</f>
        <v>0</v>
      </c>
      <c r="K1149" s="11">
        <v>0</v>
      </c>
      <c r="L1149" s="10"/>
      <c r="M1149" s="10"/>
    </row>
    <row r="1150" ht="13.35" customHeight="true"/>
    <row r="1151" ht="12.1" customHeight="true" customFormat="true" s="5">
      <c r="A1151" s="8" t="s">
        <v>711</v>
      </c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</row>
    <row r="1152" ht="10.95" customHeight="true" customFormat="true" s="9">
      <c r="A1152" s="10" t="s">
        <v>17</v>
      </c>
      <c r="B1152" s="10"/>
      <c r="C1152" s="10"/>
      <c r="D1152" s="10"/>
      <c r="E1152" s="10"/>
      <c r="F1152" s="10"/>
      <c r="G1152" s="10"/>
      <c r="H1152" s="11">
        <v>2675.1100</v>
      </c>
      <c r="I1152" s="11">
        <v>0</v>
      </c>
      <c r="J1152" s="11">
        <f ca="1">(H1152 - I1152)</f>
        <v>0</v>
      </c>
      <c r="K1152" s="11">
        <v>0</v>
      </c>
      <c r="L1152" s="10"/>
      <c r="M1152" s="10"/>
    </row>
    <row r="1153" ht="10.95" customHeight="true" customFormat="true" s="9">
      <c r="A1153" s="13"/>
      <c r="B1153" s="13" t="s">
        <v>712</v>
      </c>
      <c r="C1153" s="13" t="s">
        <v>713</v>
      </c>
      <c r="D1153" s="13" t="s">
        <v>714</v>
      </c>
      <c r="E1153" s="13"/>
      <c r="F1153" s="13" t="s">
        <v>715</v>
      </c>
      <c r="G1153" s="13"/>
      <c r="H1153" s="14">
        <v>0</v>
      </c>
      <c r="I1153" s="14">
        <v>0</v>
      </c>
      <c r="J1153" s="14">
        <f ca="1">((J1152 + H1153) - I1153)</f>
        <v>0</v>
      </c>
      <c r="K1153" s="14">
        <v>0</v>
      </c>
      <c r="L1153" s="15">
        <v>0</v>
      </c>
      <c r="M1153" s="13"/>
    </row>
    <row r="1154" ht="10.95" customHeight="true" customFormat="true" s="9">
      <c r="A1154" s="20" t="s">
        <v>716</v>
      </c>
      <c r="B1154" s="20"/>
      <c r="C1154" s="20"/>
      <c r="D1154" s="20"/>
      <c r="E1154" s="20"/>
      <c r="F1154" s="20"/>
      <c r="G1154" s="20"/>
      <c r="H1154" s="21">
        <f ca="1">H1153</f>
        <v>0</v>
      </c>
      <c r="I1154" s="21">
        <f ca="1">I1153</f>
        <v>0</v>
      </c>
      <c r="J1154" s="21">
        <f ca="1">J1153</f>
        <v>0</v>
      </c>
      <c r="K1154" s="21">
        <f ca="1">K1153</f>
        <v>0</v>
      </c>
      <c r="L1154" s="20"/>
      <c r="M1154" s="20"/>
    </row>
    <row r="1155" ht="10.95" customHeight="true" customFormat="true" s="9">
      <c r="A1155" s="20" t="s">
        <v>25</v>
      </c>
      <c r="B1155" s="20"/>
      <c r="C1155" s="20"/>
      <c r="D1155" s="20"/>
      <c r="E1155" s="20"/>
      <c r="F1155" s="20"/>
      <c r="G1155" s="20"/>
      <c r="H1155" s="21">
        <v>0</v>
      </c>
      <c r="I1155" s="21">
        <v>0</v>
      </c>
      <c r="J1155" s="21">
        <v>0</v>
      </c>
      <c r="K1155" s="21">
        <v>0</v>
      </c>
      <c r="L1155" s="20"/>
      <c r="M1155" s="20"/>
    </row>
    <row r="1156" ht="10.95" customHeight="true" customFormat="true" s="9">
      <c r="A1156" s="10" t="s">
        <v>26</v>
      </c>
      <c r="B1156" s="10"/>
      <c r="C1156" s="10"/>
      <c r="D1156" s="10"/>
      <c r="E1156" s="10"/>
      <c r="F1156" s="10"/>
      <c r="G1156" s="10"/>
      <c r="H1156" s="11">
        <v>2675.1100</v>
      </c>
      <c r="I1156" s="11">
        <v>0</v>
      </c>
      <c r="J1156" s="11">
        <f ca="1">J1153</f>
        <v>0</v>
      </c>
      <c r="K1156" s="11">
        <v>0</v>
      </c>
      <c r="L1156" s="10"/>
      <c r="M1156" s="10"/>
    </row>
    <row r="1157" ht="13.35" customHeight="true"/>
    <row r="1158" ht="12.1" customHeight="true" customFormat="true" s="5">
      <c r="A1158" s="8" t="s">
        <v>717</v>
      </c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</row>
    <row r="1159" ht="10.95" customHeight="true" customFormat="true" s="9">
      <c r="A1159" s="10" t="s">
        <v>17</v>
      </c>
      <c r="B1159" s="10"/>
      <c r="C1159" s="10"/>
      <c r="D1159" s="10"/>
      <c r="E1159" s="10"/>
      <c r="F1159" s="10"/>
      <c r="G1159" s="10"/>
      <c r="H1159" s="11">
        <v>0</v>
      </c>
      <c r="I1159" s="11">
        <v>492.5200</v>
      </c>
      <c r="J1159" s="11">
        <f ca="1">(H1159 - I1159)</f>
        <v>0</v>
      </c>
      <c r="K1159" s="11">
        <v>0</v>
      </c>
      <c r="L1159" s="10"/>
      <c r="M1159" s="10"/>
    </row>
    <row r="1160" ht="10.95" customHeight="true" customFormat="true" s="9">
      <c r="A1160" s="12">
        <v>45412</v>
      </c>
      <c r="B1160" s="13" t="s">
        <v>718</v>
      </c>
      <c r="C1160" s="13" t="s">
        <v>713</v>
      </c>
      <c r="D1160" s="13" t="s">
        <v>719</v>
      </c>
      <c r="E1160" s="13"/>
      <c r="F1160" s="13" t="s">
        <v>366</v>
      </c>
      <c r="G1160" s="13"/>
      <c r="H1160" s="14">
        <v>0</v>
      </c>
      <c r="I1160" s="14">
        <v>26.6200</v>
      </c>
      <c r="J1160" s="14">
        <f ca="1">((J1159 + H1160) - I1160)</f>
        <v>0</v>
      </c>
      <c r="K1160" s="14">
        <v>0</v>
      </c>
      <c r="L1160" s="15">
        <v>0</v>
      </c>
      <c r="M1160" s="13"/>
    </row>
    <row r="1161" ht="10.95" customHeight="true" customFormat="true" s="9">
      <c r="A1161" s="16">
        <v>45412</v>
      </c>
      <c r="B1161" s="17" t="s">
        <v>718</v>
      </c>
      <c r="C1161" s="17" t="s">
        <v>713</v>
      </c>
      <c r="D1161" s="17" t="s">
        <v>719</v>
      </c>
      <c r="E1161" s="17"/>
      <c r="F1161" s="17" t="s">
        <v>367</v>
      </c>
      <c r="G1161" s="17"/>
      <c r="H1161" s="18">
        <v>0</v>
      </c>
      <c r="I1161" s="18">
        <v>18.5100</v>
      </c>
      <c r="J1161" s="18">
        <f ca="1">((J1160 + H1161) - I1161)</f>
        <v>0</v>
      </c>
      <c r="K1161" s="18">
        <v>0</v>
      </c>
      <c r="L1161" s="19">
        <v>0</v>
      </c>
      <c r="M1161" s="17"/>
    </row>
    <row r="1162" ht="10.95" customHeight="true" customFormat="true" s="9">
      <c r="A1162" s="16">
        <v>45443</v>
      </c>
      <c r="B1162" s="17" t="s">
        <v>718</v>
      </c>
      <c r="C1162" s="17" t="s">
        <v>713</v>
      </c>
      <c r="D1162" s="17" t="s">
        <v>719</v>
      </c>
      <c r="E1162" s="17"/>
      <c r="F1162" s="17" t="s">
        <v>370</v>
      </c>
      <c r="G1162" s="17"/>
      <c r="H1162" s="18">
        <v>0</v>
      </c>
      <c r="I1162" s="18">
        <v>27.5100</v>
      </c>
      <c r="J1162" s="18">
        <f ca="1">((J1161 + H1162) - I1162)</f>
        <v>0</v>
      </c>
      <c r="K1162" s="18">
        <v>0</v>
      </c>
      <c r="L1162" s="19">
        <v>0</v>
      </c>
      <c r="M1162" s="17"/>
    </row>
    <row r="1163" ht="10.95" customHeight="true" customFormat="true" s="9">
      <c r="A1163" s="16">
        <v>45443</v>
      </c>
      <c r="B1163" s="17" t="s">
        <v>718</v>
      </c>
      <c r="C1163" s="17" t="s">
        <v>713</v>
      </c>
      <c r="D1163" s="17" t="s">
        <v>719</v>
      </c>
      <c r="E1163" s="17"/>
      <c r="F1163" s="17" t="s">
        <v>371</v>
      </c>
      <c r="G1163" s="17"/>
      <c r="H1163" s="18">
        <v>0</v>
      </c>
      <c r="I1163" s="18">
        <v>19.1300</v>
      </c>
      <c r="J1163" s="18">
        <f ca="1">((J1162 + H1163) - I1163)</f>
        <v>0</v>
      </c>
      <c r="K1163" s="18">
        <v>0</v>
      </c>
      <c r="L1163" s="19">
        <v>0</v>
      </c>
      <c r="M1163" s="17"/>
    </row>
    <row r="1164" ht="10.95" customHeight="true" customFormat="true" s="9">
      <c r="A1164" s="16">
        <v>45473</v>
      </c>
      <c r="B1164" s="17" t="s">
        <v>718</v>
      </c>
      <c r="C1164" s="17" t="s">
        <v>713</v>
      </c>
      <c r="D1164" s="17" t="s">
        <v>719</v>
      </c>
      <c r="E1164" s="17"/>
      <c r="F1164" s="17" t="s">
        <v>374</v>
      </c>
      <c r="G1164" s="17"/>
      <c r="H1164" s="18">
        <v>0</v>
      </c>
      <c r="I1164" s="18">
        <v>26.6300</v>
      </c>
      <c r="J1164" s="18">
        <f ca="1">((J1163 + H1164) - I1164)</f>
        <v>0</v>
      </c>
      <c r="K1164" s="18">
        <v>0</v>
      </c>
      <c r="L1164" s="19">
        <v>0</v>
      </c>
      <c r="M1164" s="17"/>
    </row>
    <row r="1165" ht="10.95" customHeight="true" customFormat="true" s="9">
      <c r="A1165" s="16">
        <v>45473</v>
      </c>
      <c r="B1165" s="17" t="s">
        <v>718</v>
      </c>
      <c r="C1165" s="17" t="s">
        <v>713</v>
      </c>
      <c r="D1165" s="17" t="s">
        <v>719</v>
      </c>
      <c r="E1165" s="17"/>
      <c r="F1165" s="17" t="s">
        <v>375</v>
      </c>
      <c r="G1165" s="17"/>
      <c r="H1165" s="18">
        <v>0</v>
      </c>
      <c r="I1165" s="18">
        <v>18.5100</v>
      </c>
      <c r="J1165" s="18">
        <f ca="1">((J1164 + H1165) - I1165)</f>
        <v>0</v>
      </c>
      <c r="K1165" s="18">
        <v>0</v>
      </c>
      <c r="L1165" s="19">
        <v>0</v>
      </c>
      <c r="M1165" s="17"/>
    </row>
    <row r="1166" ht="10.95" customHeight="true" customFormat="true" s="9">
      <c r="A1166" s="16">
        <v>45504</v>
      </c>
      <c r="B1166" s="17" t="s">
        <v>718</v>
      </c>
      <c r="C1166" s="17" t="s">
        <v>713</v>
      </c>
      <c r="D1166" s="17" t="s">
        <v>719</v>
      </c>
      <c r="E1166" s="17"/>
      <c r="F1166" s="17" t="s">
        <v>378</v>
      </c>
      <c r="G1166" s="17"/>
      <c r="H1166" s="18">
        <v>0</v>
      </c>
      <c r="I1166" s="18">
        <v>27.5100</v>
      </c>
      <c r="J1166" s="18">
        <f ca="1">((J1165 + H1166) - I1166)</f>
        <v>0</v>
      </c>
      <c r="K1166" s="18">
        <v>0</v>
      </c>
      <c r="L1166" s="19">
        <v>0</v>
      </c>
      <c r="M1166" s="17"/>
    </row>
    <row r="1167" ht="10.95" customHeight="true" customFormat="true" s="9">
      <c r="A1167" s="16">
        <v>45504</v>
      </c>
      <c r="B1167" s="17" t="s">
        <v>718</v>
      </c>
      <c r="C1167" s="17" t="s">
        <v>713</v>
      </c>
      <c r="D1167" s="17" t="s">
        <v>719</v>
      </c>
      <c r="E1167" s="17"/>
      <c r="F1167" s="17" t="s">
        <v>379</v>
      </c>
      <c r="G1167" s="17"/>
      <c r="H1167" s="18">
        <v>0</v>
      </c>
      <c r="I1167" s="18">
        <v>19.1300</v>
      </c>
      <c r="J1167" s="18">
        <f ca="1">((J1166 + H1167) - I1167)</f>
        <v>0</v>
      </c>
      <c r="K1167" s="18">
        <v>0</v>
      </c>
      <c r="L1167" s="19">
        <v>0</v>
      </c>
      <c r="M1167" s="17"/>
    </row>
    <row r="1168" ht="10.95" customHeight="true" customFormat="true" s="9">
      <c r="A1168" s="16">
        <v>45535</v>
      </c>
      <c r="B1168" s="17" t="s">
        <v>718</v>
      </c>
      <c r="C1168" s="17" t="s">
        <v>713</v>
      </c>
      <c r="D1168" s="17" t="s">
        <v>719</v>
      </c>
      <c r="E1168" s="17"/>
      <c r="F1168" s="17" t="s">
        <v>382</v>
      </c>
      <c r="G1168" s="17"/>
      <c r="H1168" s="18">
        <v>0</v>
      </c>
      <c r="I1168" s="18">
        <v>27.5100</v>
      </c>
      <c r="J1168" s="18">
        <f ca="1">((J1167 + H1168) - I1168)</f>
        <v>0</v>
      </c>
      <c r="K1168" s="18">
        <v>0</v>
      </c>
      <c r="L1168" s="19">
        <v>0</v>
      </c>
      <c r="M1168" s="17"/>
    </row>
    <row r="1169" ht="10.95" customHeight="true" customFormat="true" s="9">
      <c r="A1169" s="16">
        <v>45535</v>
      </c>
      <c r="B1169" s="17" t="s">
        <v>718</v>
      </c>
      <c r="C1169" s="17" t="s">
        <v>713</v>
      </c>
      <c r="D1169" s="17" t="s">
        <v>719</v>
      </c>
      <c r="E1169" s="17"/>
      <c r="F1169" s="17" t="s">
        <v>383</v>
      </c>
      <c r="G1169" s="17"/>
      <c r="H1169" s="18">
        <v>0</v>
      </c>
      <c r="I1169" s="18">
        <v>19.1300</v>
      </c>
      <c r="J1169" s="18">
        <f ca="1">((J1168 + H1169) - I1169)</f>
        <v>0</v>
      </c>
      <c r="K1169" s="18">
        <v>0</v>
      </c>
      <c r="L1169" s="19">
        <v>0</v>
      </c>
      <c r="M1169" s="17"/>
    </row>
    <row r="1170" ht="10.95" customHeight="true" customFormat="true" s="9">
      <c r="A1170" s="16">
        <v>45565</v>
      </c>
      <c r="B1170" s="17" t="s">
        <v>718</v>
      </c>
      <c r="C1170" s="17" t="s">
        <v>713</v>
      </c>
      <c r="D1170" s="17" t="s">
        <v>719</v>
      </c>
      <c r="E1170" s="17"/>
      <c r="F1170" s="17" t="s">
        <v>386</v>
      </c>
      <c r="G1170" s="17"/>
      <c r="H1170" s="18">
        <v>0</v>
      </c>
      <c r="I1170" s="18">
        <v>26.6200</v>
      </c>
      <c r="J1170" s="18">
        <f ca="1">((J1169 + H1170) - I1170)</f>
        <v>0</v>
      </c>
      <c r="K1170" s="18">
        <v>0</v>
      </c>
      <c r="L1170" s="19">
        <v>0</v>
      </c>
      <c r="M1170" s="17"/>
    </row>
    <row r="1171" ht="10.95" customHeight="true" customFormat="true" s="9">
      <c r="A1171" s="16">
        <v>45565</v>
      </c>
      <c r="B1171" s="17" t="s">
        <v>718</v>
      </c>
      <c r="C1171" s="17" t="s">
        <v>713</v>
      </c>
      <c r="D1171" s="17" t="s">
        <v>719</v>
      </c>
      <c r="E1171" s="17"/>
      <c r="F1171" s="17" t="s">
        <v>387</v>
      </c>
      <c r="G1171" s="17"/>
      <c r="H1171" s="18">
        <v>0</v>
      </c>
      <c r="I1171" s="18">
        <v>18.5100</v>
      </c>
      <c r="J1171" s="18">
        <f ca="1">((J1170 + H1171) - I1171)</f>
        <v>0</v>
      </c>
      <c r="K1171" s="18">
        <v>0</v>
      </c>
      <c r="L1171" s="19">
        <v>0</v>
      </c>
      <c r="M1171" s="17"/>
    </row>
    <row r="1172" ht="10.95" customHeight="true" customFormat="true" s="9">
      <c r="A1172" s="16">
        <v>45596</v>
      </c>
      <c r="B1172" s="17" t="s">
        <v>718</v>
      </c>
      <c r="C1172" s="17" t="s">
        <v>713</v>
      </c>
      <c r="D1172" s="17" t="s">
        <v>719</v>
      </c>
      <c r="E1172" s="17"/>
      <c r="F1172" s="17" t="s">
        <v>390</v>
      </c>
      <c r="G1172" s="17"/>
      <c r="H1172" s="18">
        <v>0</v>
      </c>
      <c r="I1172" s="18">
        <v>27.5100</v>
      </c>
      <c r="J1172" s="18">
        <f ca="1">((J1171 + H1172) - I1172)</f>
        <v>0</v>
      </c>
      <c r="K1172" s="18">
        <v>0</v>
      </c>
      <c r="L1172" s="19">
        <v>0</v>
      </c>
      <c r="M1172" s="17"/>
    </row>
    <row r="1173" ht="10.95" customHeight="true" customFormat="true" s="9">
      <c r="A1173" s="16">
        <v>45596</v>
      </c>
      <c r="B1173" s="17" t="s">
        <v>718</v>
      </c>
      <c r="C1173" s="17" t="s">
        <v>713</v>
      </c>
      <c r="D1173" s="17" t="s">
        <v>719</v>
      </c>
      <c r="E1173" s="17"/>
      <c r="F1173" s="17" t="s">
        <v>391</v>
      </c>
      <c r="G1173" s="17"/>
      <c r="H1173" s="18">
        <v>0</v>
      </c>
      <c r="I1173" s="18">
        <v>19.1200</v>
      </c>
      <c r="J1173" s="18">
        <f ca="1">((J1172 + H1173) - I1173)</f>
        <v>0</v>
      </c>
      <c r="K1173" s="18">
        <v>0</v>
      </c>
      <c r="L1173" s="19">
        <v>0</v>
      </c>
      <c r="M1173" s="17"/>
    </row>
    <row r="1174" ht="10.95" customHeight="true" customFormat="true" s="9">
      <c r="A1174" s="16">
        <v>45626</v>
      </c>
      <c r="B1174" s="17" t="s">
        <v>718</v>
      </c>
      <c r="C1174" s="17" t="s">
        <v>713</v>
      </c>
      <c r="D1174" s="17" t="s">
        <v>719</v>
      </c>
      <c r="E1174" s="17"/>
      <c r="F1174" s="17" t="s">
        <v>394</v>
      </c>
      <c r="G1174" s="17"/>
      <c r="H1174" s="18">
        <v>0</v>
      </c>
      <c r="I1174" s="18">
        <v>26.6200</v>
      </c>
      <c r="J1174" s="18">
        <f ca="1">((J1173 + H1174) - I1174)</f>
        <v>0</v>
      </c>
      <c r="K1174" s="18">
        <v>0</v>
      </c>
      <c r="L1174" s="19">
        <v>0</v>
      </c>
      <c r="M1174" s="17"/>
    </row>
    <row r="1175" ht="10.95" customHeight="true" customFormat="true" s="9">
      <c r="A1175" s="16">
        <v>45626</v>
      </c>
      <c r="B1175" s="17" t="s">
        <v>718</v>
      </c>
      <c r="C1175" s="17" t="s">
        <v>713</v>
      </c>
      <c r="D1175" s="17" t="s">
        <v>719</v>
      </c>
      <c r="E1175" s="17"/>
      <c r="F1175" s="17" t="s">
        <v>395</v>
      </c>
      <c r="G1175" s="17"/>
      <c r="H1175" s="18">
        <v>0</v>
      </c>
      <c r="I1175" s="18">
        <v>18.5200</v>
      </c>
      <c r="J1175" s="18">
        <f ca="1">((J1174 + H1175) - I1175)</f>
        <v>0</v>
      </c>
      <c r="K1175" s="18">
        <v>0</v>
      </c>
      <c r="L1175" s="19">
        <v>0</v>
      </c>
      <c r="M1175" s="17"/>
    </row>
    <row r="1176" ht="10.95" customHeight="true" customFormat="true" s="9">
      <c r="A1176" s="16">
        <v>45657</v>
      </c>
      <c r="B1176" s="17" t="s">
        <v>718</v>
      </c>
      <c r="C1176" s="17" t="s">
        <v>713</v>
      </c>
      <c r="D1176" s="17" t="s">
        <v>719</v>
      </c>
      <c r="E1176" s="17"/>
      <c r="F1176" s="17" t="s">
        <v>398</v>
      </c>
      <c r="G1176" s="17"/>
      <c r="H1176" s="18">
        <v>0</v>
      </c>
      <c r="I1176" s="18">
        <v>27.5100</v>
      </c>
      <c r="J1176" s="18">
        <f ca="1">((J1175 + H1176) - I1176)</f>
        <v>0</v>
      </c>
      <c r="K1176" s="18">
        <v>0</v>
      </c>
      <c r="L1176" s="19">
        <v>0</v>
      </c>
      <c r="M1176" s="17"/>
    </row>
    <row r="1177" ht="10.95" customHeight="true" customFormat="true" s="9">
      <c r="A1177" s="16">
        <v>45657</v>
      </c>
      <c r="B1177" s="17" t="s">
        <v>718</v>
      </c>
      <c r="C1177" s="17" t="s">
        <v>713</v>
      </c>
      <c r="D1177" s="17" t="s">
        <v>719</v>
      </c>
      <c r="E1177" s="17"/>
      <c r="F1177" s="17" t="s">
        <v>399</v>
      </c>
      <c r="G1177" s="17"/>
      <c r="H1177" s="18">
        <v>0</v>
      </c>
      <c r="I1177" s="18">
        <v>19.1200</v>
      </c>
      <c r="J1177" s="18">
        <f ca="1">((J1176 + H1177) - I1177)</f>
        <v>0</v>
      </c>
      <c r="K1177" s="18">
        <v>0</v>
      </c>
      <c r="L1177" s="19">
        <v>0</v>
      </c>
      <c r="M1177" s="17"/>
    </row>
    <row r="1178" ht="10.95" customHeight="true" customFormat="true" s="9">
      <c r="A1178" s="16">
        <v>45688</v>
      </c>
      <c r="B1178" s="17" t="s">
        <v>718</v>
      </c>
      <c r="C1178" s="17" t="s">
        <v>713</v>
      </c>
      <c r="D1178" s="17" t="s">
        <v>719</v>
      </c>
      <c r="E1178" s="17"/>
      <c r="F1178" s="17" t="s">
        <v>402</v>
      </c>
      <c r="G1178" s="17"/>
      <c r="H1178" s="18">
        <v>0</v>
      </c>
      <c r="I1178" s="18">
        <v>27.5100</v>
      </c>
      <c r="J1178" s="18">
        <f ca="1">((J1177 + H1178) - I1178)</f>
        <v>0</v>
      </c>
      <c r="K1178" s="18">
        <v>0</v>
      </c>
      <c r="L1178" s="19">
        <v>0</v>
      </c>
      <c r="M1178" s="17"/>
    </row>
    <row r="1179" ht="10.95" customHeight="true" customFormat="true" s="9">
      <c r="A1179" s="16">
        <v>45688</v>
      </c>
      <c r="B1179" s="17" t="s">
        <v>718</v>
      </c>
      <c r="C1179" s="17" t="s">
        <v>713</v>
      </c>
      <c r="D1179" s="17" t="s">
        <v>719</v>
      </c>
      <c r="E1179" s="17"/>
      <c r="F1179" s="17" t="s">
        <v>403</v>
      </c>
      <c r="G1179" s="17"/>
      <c r="H1179" s="18">
        <v>0</v>
      </c>
      <c r="I1179" s="18">
        <v>19.1300</v>
      </c>
      <c r="J1179" s="18">
        <f ca="1">((J1178 + H1179) - I1179)</f>
        <v>0</v>
      </c>
      <c r="K1179" s="18">
        <v>0</v>
      </c>
      <c r="L1179" s="19">
        <v>0</v>
      </c>
      <c r="M1179" s="17"/>
    </row>
    <row r="1180" ht="10.95" customHeight="true" customFormat="true" s="9">
      <c r="A1180" s="16">
        <v>45716</v>
      </c>
      <c r="B1180" s="17" t="s">
        <v>718</v>
      </c>
      <c r="C1180" s="17" t="s">
        <v>713</v>
      </c>
      <c r="D1180" s="17" t="s">
        <v>719</v>
      </c>
      <c r="E1180" s="17"/>
      <c r="F1180" s="17" t="s">
        <v>406</v>
      </c>
      <c r="G1180" s="17"/>
      <c r="H1180" s="18">
        <v>0</v>
      </c>
      <c r="I1180" s="18">
        <v>24.8500</v>
      </c>
      <c r="J1180" s="18">
        <f ca="1">((J1179 + H1180) - I1180)</f>
        <v>0</v>
      </c>
      <c r="K1180" s="18">
        <v>0</v>
      </c>
      <c r="L1180" s="19">
        <v>0</v>
      </c>
      <c r="M1180" s="17"/>
    </row>
    <row r="1181" ht="10.95" customHeight="true" customFormat="true" s="9">
      <c r="A1181" s="16">
        <v>45716</v>
      </c>
      <c r="B1181" s="17" t="s">
        <v>718</v>
      </c>
      <c r="C1181" s="17" t="s">
        <v>713</v>
      </c>
      <c r="D1181" s="17" t="s">
        <v>719</v>
      </c>
      <c r="E1181" s="17"/>
      <c r="F1181" s="17" t="s">
        <v>407</v>
      </c>
      <c r="G1181" s="17"/>
      <c r="H1181" s="18">
        <v>0</v>
      </c>
      <c r="I1181" s="18">
        <v>17.2800</v>
      </c>
      <c r="J1181" s="18">
        <f ca="1">((J1180 + H1181) - I1181)</f>
        <v>0</v>
      </c>
      <c r="K1181" s="18">
        <v>0</v>
      </c>
      <c r="L1181" s="19">
        <v>0</v>
      </c>
      <c r="M1181" s="17"/>
    </row>
    <row r="1182" ht="10.95" customHeight="true" customFormat="true" s="9">
      <c r="A1182" s="16">
        <v>45747</v>
      </c>
      <c r="B1182" s="17" t="s">
        <v>718</v>
      </c>
      <c r="C1182" s="17" t="s">
        <v>713</v>
      </c>
      <c r="D1182" s="17" t="s">
        <v>719</v>
      </c>
      <c r="E1182" s="17"/>
      <c r="F1182" s="17" t="s">
        <v>410</v>
      </c>
      <c r="G1182" s="17"/>
      <c r="H1182" s="18">
        <v>0</v>
      </c>
      <c r="I1182" s="18">
        <v>27.5100</v>
      </c>
      <c r="J1182" s="18">
        <f ca="1">((J1181 + H1182) - I1182)</f>
        <v>0</v>
      </c>
      <c r="K1182" s="18">
        <v>0</v>
      </c>
      <c r="L1182" s="19">
        <v>0</v>
      </c>
      <c r="M1182" s="17"/>
    </row>
    <row r="1183" ht="10.95" customHeight="true" customFormat="true" s="9">
      <c r="A1183" s="16">
        <v>45747</v>
      </c>
      <c r="B1183" s="17" t="s">
        <v>718</v>
      </c>
      <c r="C1183" s="17" t="s">
        <v>713</v>
      </c>
      <c r="D1183" s="17" t="s">
        <v>719</v>
      </c>
      <c r="E1183" s="17"/>
      <c r="F1183" s="17" t="s">
        <v>411</v>
      </c>
      <c r="G1183" s="17"/>
      <c r="H1183" s="18">
        <v>0</v>
      </c>
      <c r="I1183" s="18">
        <v>19.1300</v>
      </c>
      <c r="J1183" s="18">
        <f ca="1">((J1182 + H1183) - I1183)</f>
        <v>0</v>
      </c>
      <c r="K1183" s="18">
        <v>0</v>
      </c>
      <c r="L1183" s="19">
        <v>0</v>
      </c>
      <c r="M1183" s="17"/>
    </row>
    <row r="1184" ht="10.95" customHeight="true" customFormat="true" s="9">
      <c r="A1184" s="20" t="s">
        <v>720</v>
      </c>
      <c r="B1184" s="20"/>
      <c r="C1184" s="20"/>
      <c r="D1184" s="20"/>
      <c r="E1184" s="20"/>
      <c r="F1184" s="20"/>
      <c r="G1184" s="20"/>
      <c r="H1184" s="21">
        <f ca="1">SUM(H1160:H1183)</f>
        <v>0</v>
      </c>
      <c r="I1184" s="21">
        <f ca="1">SUM(I1160:I1183)</f>
        <v>0</v>
      </c>
      <c r="J1184" s="21">
        <f ca="1">J1183</f>
        <v>0</v>
      </c>
      <c r="K1184" s="21">
        <f ca="1">SUM(K1160:K1183)</f>
        <v>0</v>
      </c>
      <c r="L1184" s="20"/>
      <c r="M1184" s="20"/>
    </row>
    <row r="1185" ht="10.95" customHeight="true" customFormat="true" s="9">
      <c r="A1185" s="20" t="s">
        <v>25</v>
      </c>
      <c r="B1185" s="20"/>
      <c r="C1185" s="20"/>
      <c r="D1185" s="20"/>
      <c r="E1185" s="20"/>
      <c r="F1185" s="20"/>
      <c r="G1185" s="20"/>
      <c r="H1185" s="21">
        <v>0</v>
      </c>
      <c r="I1185" s="21">
        <v>549.1300</v>
      </c>
      <c r="J1185" s="21">
        <v>0</v>
      </c>
      <c r="K1185" s="21">
        <v>0</v>
      </c>
      <c r="L1185" s="20"/>
      <c r="M1185" s="20"/>
    </row>
    <row r="1186" ht="10.95" customHeight="true" customFormat="true" s="9">
      <c r="A1186" s="10" t="s">
        <v>26</v>
      </c>
      <c r="B1186" s="10"/>
      <c r="C1186" s="10"/>
      <c r="D1186" s="10"/>
      <c r="E1186" s="10"/>
      <c r="F1186" s="10"/>
      <c r="G1186" s="10"/>
      <c r="H1186" s="11">
        <v>0</v>
      </c>
      <c r="I1186" s="11">
        <v>1041.6500</v>
      </c>
      <c r="J1186" s="11">
        <f ca="1">J1183</f>
        <v>0</v>
      </c>
      <c r="K1186" s="11">
        <v>0</v>
      </c>
      <c r="L1186" s="10"/>
      <c r="M1186" s="10"/>
    </row>
    <row r="1187" ht="13.35" customHeight="true"/>
    <row r="1188" ht="12.1" customHeight="true" customFormat="true" s="5">
      <c r="A1188" s="8" t="s">
        <v>721</v>
      </c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</row>
    <row r="1189" ht="10.95" customHeight="true" customFormat="true" s="9">
      <c r="A1189" s="10" t="s">
        <v>17</v>
      </c>
      <c r="B1189" s="10"/>
      <c r="C1189" s="10"/>
      <c r="D1189" s="10"/>
      <c r="E1189" s="10"/>
      <c r="F1189" s="10"/>
      <c r="G1189" s="10"/>
      <c r="H1189" s="11">
        <v>4180.0000</v>
      </c>
      <c r="I1189" s="11">
        <v>0</v>
      </c>
      <c r="J1189" s="11">
        <f ca="1">(H1189 - I1189)</f>
        <v>0</v>
      </c>
      <c r="K1189" s="11">
        <v>0</v>
      </c>
      <c r="L1189" s="10"/>
      <c r="M1189" s="10"/>
    </row>
    <row r="1190" ht="10.95" customHeight="true" customFormat="true" s="9">
      <c r="A1190" s="13"/>
      <c r="B1190" s="13" t="s">
        <v>722</v>
      </c>
      <c r="C1190" s="13" t="s">
        <v>713</v>
      </c>
      <c r="D1190" s="13" t="s">
        <v>723</v>
      </c>
      <c r="E1190" s="13"/>
      <c r="F1190" s="13" t="s">
        <v>715</v>
      </c>
      <c r="G1190" s="13"/>
      <c r="H1190" s="14">
        <v>0</v>
      </c>
      <c r="I1190" s="14">
        <v>0</v>
      </c>
      <c r="J1190" s="14">
        <f ca="1">((J1189 + H1190) - I1190)</f>
        <v>0</v>
      </c>
      <c r="K1190" s="14">
        <v>0</v>
      </c>
      <c r="L1190" s="15">
        <v>0</v>
      </c>
      <c r="M1190" s="13"/>
    </row>
    <row r="1191" ht="10.95" customHeight="true" customFormat="true" s="9">
      <c r="A1191" s="20" t="s">
        <v>724</v>
      </c>
      <c r="B1191" s="20"/>
      <c r="C1191" s="20"/>
      <c r="D1191" s="20"/>
      <c r="E1191" s="20"/>
      <c r="F1191" s="20"/>
      <c r="G1191" s="20"/>
      <c r="H1191" s="21">
        <f ca="1">H1190</f>
        <v>0</v>
      </c>
      <c r="I1191" s="21">
        <f ca="1">I1190</f>
        <v>0</v>
      </c>
      <c r="J1191" s="21">
        <f ca="1">J1190</f>
        <v>0</v>
      </c>
      <c r="K1191" s="21">
        <f ca="1">K1190</f>
        <v>0</v>
      </c>
      <c r="L1191" s="20"/>
      <c r="M1191" s="20"/>
    </row>
    <row r="1192" ht="10.95" customHeight="true" customFormat="true" s="9">
      <c r="A1192" s="20" t="s">
        <v>25</v>
      </c>
      <c r="B1192" s="20"/>
      <c r="C1192" s="20"/>
      <c r="D1192" s="20"/>
      <c r="E1192" s="20"/>
      <c r="F1192" s="20"/>
      <c r="G1192" s="20"/>
      <c r="H1192" s="21">
        <v>0</v>
      </c>
      <c r="I1192" s="21">
        <v>0</v>
      </c>
      <c r="J1192" s="21">
        <v>0</v>
      </c>
      <c r="K1192" s="21">
        <v>0</v>
      </c>
      <c r="L1192" s="20"/>
      <c r="M1192" s="20"/>
    </row>
    <row r="1193" ht="10.95" customHeight="true" customFormat="true" s="9">
      <c r="A1193" s="10" t="s">
        <v>26</v>
      </c>
      <c r="B1193" s="10"/>
      <c r="C1193" s="10"/>
      <c r="D1193" s="10"/>
      <c r="E1193" s="10"/>
      <c r="F1193" s="10"/>
      <c r="G1193" s="10"/>
      <c r="H1193" s="11">
        <v>4180.0000</v>
      </c>
      <c r="I1193" s="11">
        <v>0</v>
      </c>
      <c r="J1193" s="11">
        <f ca="1">J1190</f>
        <v>0</v>
      </c>
      <c r="K1193" s="11">
        <v>0</v>
      </c>
      <c r="L1193" s="10"/>
      <c r="M1193" s="10"/>
    </row>
    <row r="1194" ht="13.35" customHeight="true"/>
    <row r="1195" ht="12.1" customHeight="true" customFormat="true" s="5">
      <c r="A1195" s="8" t="s">
        <v>725</v>
      </c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</row>
    <row r="1196" ht="10.95" customHeight="true" customFormat="true" s="9">
      <c r="A1196" s="10" t="s">
        <v>17</v>
      </c>
      <c r="B1196" s="10"/>
      <c r="C1196" s="10"/>
      <c r="D1196" s="10"/>
      <c r="E1196" s="10"/>
      <c r="F1196" s="10"/>
      <c r="G1196" s="10"/>
      <c r="H1196" s="11">
        <v>0</v>
      </c>
      <c r="I1196" s="11">
        <v>3644.5400</v>
      </c>
      <c r="J1196" s="11">
        <f ca="1">(H1196 - I1196)</f>
        <v>0</v>
      </c>
      <c r="K1196" s="11">
        <v>0</v>
      </c>
      <c r="L1196" s="10"/>
      <c r="M1196" s="10"/>
    </row>
    <row r="1197" ht="10.95" customHeight="true" customFormat="true" s="9">
      <c r="A1197" s="12">
        <v>45412</v>
      </c>
      <c r="B1197" s="13" t="s">
        <v>726</v>
      </c>
      <c r="C1197" s="13" t="s">
        <v>713</v>
      </c>
      <c r="D1197" s="13" t="s">
        <v>727</v>
      </c>
      <c r="E1197" s="13"/>
      <c r="F1197" s="13" t="s">
        <v>364</v>
      </c>
      <c r="G1197" s="13"/>
      <c r="H1197" s="14">
        <v>0</v>
      </c>
      <c r="I1197" s="14">
        <v>15.8400</v>
      </c>
      <c r="J1197" s="14">
        <f ca="1">((J1196 + H1197) - I1197)</f>
        <v>0</v>
      </c>
      <c r="K1197" s="14">
        <v>0</v>
      </c>
      <c r="L1197" s="15">
        <v>0</v>
      </c>
      <c r="M1197" s="13"/>
    </row>
    <row r="1198" ht="10.95" customHeight="true" customFormat="true" s="9">
      <c r="A1198" s="16">
        <v>45412</v>
      </c>
      <c r="B1198" s="17" t="s">
        <v>726</v>
      </c>
      <c r="C1198" s="17" t="s">
        <v>713</v>
      </c>
      <c r="D1198" s="17" t="s">
        <v>727</v>
      </c>
      <c r="E1198" s="17"/>
      <c r="F1198" s="17" t="s">
        <v>365</v>
      </c>
      <c r="G1198" s="17"/>
      <c r="H1198" s="18">
        <v>0</v>
      </c>
      <c r="I1198" s="18">
        <v>6.1700</v>
      </c>
      <c r="J1198" s="18">
        <f ca="1">((J1197 + H1198) - I1198)</f>
        <v>0</v>
      </c>
      <c r="K1198" s="18">
        <v>0</v>
      </c>
      <c r="L1198" s="19">
        <v>0</v>
      </c>
      <c r="M1198" s="17"/>
    </row>
    <row r="1199" ht="10.95" customHeight="true" customFormat="true" s="9">
      <c r="A1199" s="16">
        <v>45443</v>
      </c>
      <c r="B1199" s="17" t="s">
        <v>726</v>
      </c>
      <c r="C1199" s="17" t="s">
        <v>713</v>
      </c>
      <c r="D1199" s="17" t="s">
        <v>727</v>
      </c>
      <c r="E1199" s="17"/>
      <c r="F1199" s="17" t="s">
        <v>368</v>
      </c>
      <c r="G1199" s="17"/>
      <c r="H1199" s="18">
        <v>0</v>
      </c>
      <c r="I1199" s="18">
        <v>16.3600</v>
      </c>
      <c r="J1199" s="18">
        <f ca="1">((J1198 + H1199) - I1199)</f>
        <v>0</v>
      </c>
      <c r="K1199" s="18">
        <v>0</v>
      </c>
      <c r="L1199" s="19">
        <v>0</v>
      </c>
      <c r="M1199" s="17"/>
    </row>
    <row r="1200" ht="10.95" customHeight="true" customFormat="true" s="9">
      <c r="A1200" s="16">
        <v>45443</v>
      </c>
      <c r="B1200" s="17" t="s">
        <v>726</v>
      </c>
      <c r="C1200" s="17" t="s">
        <v>713</v>
      </c>
      <c r="D1200" s="17" t="s">
        <v>727</v>
      </c>
      <c r="E1200" s="17"/>
      <c r="F1200" s="17" t="s">
        <v>369</v>
      </c>
      <c r="G1200" s="17"/>
      <c r="H1200" s="18">
        <v>0</v>
      </c>
      <c r="I1200" s="18">
        <v>6.3700</v>
      </c>
      <c r="J1200" s="18">
        <f ca="1">((J1199 + H1200) - I1200)</f>
        <v>0</v>
      </c>
      <c r="K1200" s="18">
        <v>0</v>
      </c>
      <c r="L1200" s="19">
        <v>0</v>
      </c>
      <c r="M1200" s="17"/>
    </row>
    <row r="1201" ht="10.95" customHeight="true" customFormat="true" s="9">
      <c r="A1201" s="16">
        <v>45473</v>
      </c>
      <c r="B1201" s="17" t="s">
        <v>726</v>
      </c>
      <c r="C1201" s="17" t="s">
        <v>713</v>
      </c>
      <c r="D1201" s="17" t="s">
        <v>727</v>
      </c>
      <c r="E1201" s="17"/>
      <c r="F1201" s="17" t="s">
        <v>372</v>
      </c>
      <c r="G1201" s="17"/>
      <c r="H1201" s="18">
        <v>0</v>
      </c>
      <c r="I1201" s="18">
        <v>15.8400</v>
      </c>
      <c r="J1201" s="18">
        <f ca="1">((J1200 + H1201) - I1201)</f>
        <v>0</v>
      </c>
      <c r="K1201" s="18">
        <v>0</v>
      </c>
      <c r="L1201" s="19">
        <v>0</v>
      </c>
      <c r="M1201" s="17"/>
    </row>
    <row r="1202" ht="10.95" customHeight="true" customFormat="true" s="9">
      <c r="A1202" s="16">
        <v>45473</v>
      </c>
      <c r="B1202" s="17" t="s">
        <v>726</v>
      </c>
      <c r="C1202" s="17" t="s">
        <v>713</v>
      </c>
      <c r="D1202" s="17" t="s">
        <v>727</v>
      </c>
      <c r="E1202" s="17"/>
      <c r="F1202" s="17" t="s">
        <v>373</v>
      </c>
      <c r="G1202" s="17"/>
      <c r="H1202" s="18">
        <v>0</v>
      </c>
      <c r="I1202" s="18">
        <v>6.1700</v>
      </c>
      <c r="J1202" s="18">
        <f ca="1">((J1201 + H1202) - I1202)</f>
        <v>0</v>
      </c>
      <c r="K1202" s="18">
        <v>0</v>
      </c>
      <c r="L1202" s="19">
        <v>0</v>
      </c>
      <c r="M1202" s="17"/>
    </row>
    <row r="1203" ht="10.95" customHeight="true" customFormat="true" s="9">
      <c r="A1203" s="16">
        <v>45504</v>
      </c>
      <c r="B1203" s="17" t="s">
        <v>726</v>
      </c>
      <c r="C1203" s="17" t="s">
        <v>713</v>
      </c>
      <c r="D1203" s="17" t="s">
        <v>727</v>
      </c>
      <c r="E1203" s="17"/>
      <c r="F1203" s="17" t="s">
        <v>376</v>
      </c>
      <c r="G1203" s="17"/>
      <c r="H1203" s="18">
        <v>0</v>
      </c>
      <c r="I1203" s="18">
        <v>16.3600</v>
      </c>
      <c r="J1203" s="18">
        <f ca="1">((J1202 + H1203) - I1203)</f>
        <v>0</v>
      </c>
      <c r="K1203" s="18">
        <v>0</v>
      </c>
      <c r="L1203" s="19">
        <v>0</v>
      </c>
      <c r="M1203" s="17"/>
    </row>
    <row r="1204" ht="10.95" customHeight="true" customFormat="true" s="9">
      <c r="A1204" s="16">
        <v>45504</v>
      </c>
      <c r="B1204" s="17" t="s">
        <v>726</v>
      </c>
      <c r="C1204" s="17" t="s">
        <v>713</v>
      </c>
      <c r="D1204" s="17" t="s">
        <v>727</v>
      </c>
      <c r="E1204" s="17"/>
      <c r="F1204" s="17" t="s">
        <v>377</v>
      </c>
      <c r="G1204" s="17"/>
      <c r="H1204" s="18">
        <v>0</v>
      </c>
      <c r="I1204" s="18">
        <v>6.3700</v>
      </c>
      <c r="J1204" s="18">
        <f ca="1">((J1203 + H1204) - I1204)</f>
        <v>0</v>
      </c>
      <c r="K1204" s="18">
        <v>0</v>
      </c>
      <c r="L1204" s="19">
        <v>0</v>
      </c>
      <c r="M1204" s="17"/>
    </row>
    <row r="1205" ht="10.95" customHeight="true" customFormat="true" s="9">
      <c r="A1205" s="16">
        <v>45535</v>
      </c>
      <c r="B1205" s="17" t="s">
        <v>726</v>
      </c>
      <c r="C1205" s="17" t="s">
        <v>713</v>
      </c>
      <c r="D1205" s="17" t="s">
        <v>727</v>
      </c>
      <c r="E1205" s="17"/>
      <c r="F1205" s="17" t="s">
        <v>380</v>
      </c>
      <c r="G1205" s="17"/>
      <c r="H1205" s="18">
        <v>0</v>
      </c>
      <c r="I1205" s="18">
        <v>16.3700</v>
      </c>
      <c r="J1205" s="18">
        <f ca="1">((J1204 + H1205) - I1205)</f>
        <v>0</v>
      </c>
      <c r="K1205" s="18">
        <v>0</v>
      </c>
      <c r="L1205" s="19">
        <v>0</v>
      </c>
      <c r="M1205" s="17"/>
    </row>
    <row r="1206" ht="10.95" customHeight="true" customFormat="true" s="9">
      <c r="A1206" s="16">
        <v>45535</v>
      </c>
      <c r="B1206" s="17" t="s">
        <v>726</v>
      </c>
      <c r="C1206" s="17" t="s">
        <v>713</v>
      </c>
      <c r="D1206" s="17" t="s">
        <v>727</v>
      </c>
      <c r="E1206" s="17"/>
      <c r="F1206" s="17" t="s">
        <v>381</v>
      </c>
      <c r="G1206" s="17"/>
      <c r="H1206" s="18">
        <v>0</v>
      </c>
      <c r="I1206" s="18">
        <v>6.3800</v>
      </c>
      <c r="J1206" s="18">
        <f ca="1">((J1205 + H1206) - I1206)</f>
        <v>0</v>
      </c>
      <c r="K1206" s="18">
        <v>0</v>
      </c>
      <c r="L1206" s="19">
        <v>0</v>
      </c>
      <c r="M1206" s="17"/>
    </row>
    <row r="1207" ht="10.95" customHeight="true" customFormat="true" s="9">
      <c r="A1207" s="16">
        <v>45565</v>
      </c>
      <c r="B1207" s="17" t="s">
        <v>726</v>
      </c>
      <c r="C1207" s="17" t="s">
        <v>713</v>
      </c>
      <c r="D1207" s="17" t="s">
        <v>727</v>
      </c>
      <c r="E1207" s="17"/>
      <c r="F1207" s="17" t="s">
        <v>384</v>
      </c>
      <c r="G1207" s="17"/>
      <c r="H1207" s="18">
        <v>0</v>
      </c>
      <c r="I1207" s="18">
        <v>15.8400</v>
      </c>
      <c r="J1207" s="18">
        <f ca="1">((J1206 + H1207) - I1207)</f>
        <v>0</v>
      </c>
      <c r="K1207" s="18">
        <v>0</v>
      </c>
      <c r="L1207" s="19">
        <v>0</v>
      </c>
      <c r="M1207" s="17"/>
    </row>
    <row r="1208" ht="10.95" customHeight="true" customFormat="true" s="9">
      <c r="A1208" s="16">
        <v>45565</v>
      </c>
      <c r="B1208" s="17" t="s">
        <v>726</v>
      </c>
      <c r="C1208" s="17" t="s">
        <v>713</v>
      </c>
      <c r="D1208" s="17" t="s">
        <v>727</v>
      </c>
      <c r="E1208" s="17"/>
      <c r="F1208" s="17" t="s">
        <v>385</v>
      </c>
      <c r="G1208" s="17"/>
      <c r="H1208" s="18">
        <v>0</v>
      </c>
      <c r="I1208" s="18">
        <v>6.1700</v>
      </c>
      <c r="J1208" s="18">
        <f ca="1">((J1207 + H1208) - I1208)</f>
        <v>0</v>
      </c>
      <c r="K1208" s="18">
        <v>0</v>
      </c>
      <c r="L1208" s="19">
        <v>0</v>
      </c>
      <c r="M1208" s="17"/>
    </row>
    <row r="1209" ht="10.95" customHeight="true" customFormat="true" s="9">
      <c r="A1209" s="16">
        <v>45596</v>
      </c>
      <c r="B1209" s="17" t="s">
        <v>726</v>
      </c>
      <c r="C1209" s="17" t="s">
        <v>713</v>
      </c>
      <c r="D1209" s="17" t="s">
        <v>727</v>
      </c>
      <c r="E1209" s="17"/>
      <c r="F1209" s="17" t="s">
        <v>388</v>
      </c>
      <c r="G1209" s="17"/>
      <c r="H1209" s="18">
        <v>0</v>
      </c>
      <c r="I1209" s="18">
        <v>16.3600</v>
      </c>
      <c r="J1209" s="18">
        <f ca="1">((J1208 + H1209) - I1209)</f>
        <v>0</v>
      </c>
      <c r="K1209" s="18">
        <v>0</v>
      </c>
      <c r="L1209" s="19">
        <v>0</v>
      </c>
      <c r="M1209" s="17"/>
    </row>
    <row r="1210" ht="10.95" customHeight="true" customFormat="true" s="9">
      <c r="A1210" s="16">
        <v>45596</v>
      </c>
      <c r="B1210" s="17" t="s">
        <v>726</v>
      </c>
      <c r="C1210" s="17" t="s">
        <v>713</v>
      </c>
      <c r="D1210" s="17" t="s">
        <v>727</v>
      </c>
      <c r="E1210" s="17"/>
      <c r="F1210" s="17" t="s">
        <v>389</v>
      </c>
      <c r="G1210" s="17"/>
      <c r="H1210" s="18">
        <v>0</v>
      </c>
      <c r="I1210" s="18">
        <v>6.3700</v>
      </c>
      <c r="J1210" s="18">
        <f ca="1">((J1209 + H1210) - I1210)</f>
        <v>0</v>
      </c>
      <c r="K1210" s="18">
        <v>0</v>
      </c>
      <c r="L1210" s="19">
        <v>0</v>
      </c>
      <c r="M1210" s="17"/>
    </row>
    <row r="1211" ht="10.95" customHeight="true" customFormat="true" s="9">
      <c r="A1211" s="16">
        <v>45626</v>
      </c>
      <c r="B1211" s="17" t="s">
        <v>726</v>
      </c>
      <c r="C1211" s="17" t="s">
        <v>713</v>
      </c>
      <c r="D1211" s="17" t="s">
        <v>727</v>
      </c>
      <c r="E1211" s="17"/>
      <c r="F1211" s="17" t="s">
        <v>392</v>
      </c>
      <c r="G1211" s="17"/>
      <c r="H1211" s="18">
        <v>0</v>
      </c>
      <c r="I1211" s="18">
        <v>15.8400</v>
      </c>
      <c r="J1211" s="18">
        <f ca="1">((J1210 + H1211) - I1211)</f>
        <v>0</v>
      </c>
      <c r="K1211" s="18">
        <v>0</v>
      </c>
      <c r="L1211" s="19">
        <v>0</v>
      </c>
      <c r="M1211" s="17"/>
    </row>
    <row r="1212" ht="10.95" customHeight="true" customFormat="true" s="9">
      <c r="A1212" s="16">
        <v>45626</v>
      </c>
      <c r="B1212" s="17" t="s">
        <v>726</v>
      </c>
      <c r="C1212" s="17" t="s">
        <v>713</v>
      </c>
      <c r="D1212" s="17" t="s">
        <v>727</v>
      </c>
      <c r="E1212" s="17"/>
      <c r="F1212" s="17" t="s">
        <v>393</v>
      </c>
      <c r="G1212" s="17"/>
      <c r="H1212" s="18">
        <v>0</v>
      </c>
      <c r="I1212" s="18">
        <v>6.1700</v>
      </c>
      <c r="J1212" s="18">
        <f ca="1">((J1211 + H1212) - I1212)</f>
        <v>0</v>
      </c>
      <c r="K1212" s="18">
        <v>0</v>
      </c>
      <c r="L1212" s="19">
        <v>0</v>
      </c>
      <c r="M1212" s="17"/>
    </row>
    <row r="1213" ht="10.95" customHeight="true" customFormat="true" s="9">
      <c r="A1213" s="16">
        <v>45657</v>
      </c>
      <c r="B1213" s="17" t="s">
        <v>726</v>
      </c>
      <c r="C1213" s="17" t="s">
        <v>713</v>
      </c>
      <c r="D1213" s="17" t="s">
        <v>727</v>
      </c>
      <c r="E1213" s="17"/>
      <c r="F1213" s="17" t="s">
        <v>396</v>
      </c>
      <c r="G1213" s="17"/>
      <c r="H1213" s="18">
        <v>0</v>
      </c>
      <c r="I1213" s="18">
        <v>16.3600</v>
      </c>
      <c r="J1213" s="18">
        <f ca="1">((J1212 + H1213) - I1213)</f>
        <v>0</v>
      </c>
      <c r="K1213" s="18">
        <v>0</v>
      </c>
      <c r="L1213" s="19">
        <v>0</v>
      </c>
      <c r="M1213" s="17"/>
    </row>
    <row r="1214" ht="10.95" customHeight="true" customFormat="true" s="9">
      <c r="A1214" s="16">
        <v>45657</v>
      </c>
      <c r="B1214" s="17" t="s">
        <v>726</v>
      </c>
      <c r="C1214" s="17" t="s">
        <v>713</v>
      </c>
      <c r="D1214" s="17" t="s">
        <v>727</v>
      </c>
      <c r="E1214" s="17"/>
      <c r="F1214" s="17" t="s">
        <v>397</v>
      </c>
      <c r="G1214" s="17"/>
      <c r="H1214" s="18">
        <v>0</v>
      </c>
      <c r="I1214" s="18">
        <v>6.3700</v>
      </c>
      <c r="J1214" s="18">
        <f ca="1">((J1213 + H1214) - I1214)</f>
        <v>0</v>
      </c>
      <c r="K1214" s="18">
        <v>0</v>
      </c>
      <c r="L1214" s="19">
        <v>0</v>
      </c>
      <c r="M1214" s="17"/>
    </row>
    <row r="1215" ht="10.95" customHeight="true" customFormat="true" s="9">
      <c r="A1215" s="16">
        <v>45688</v>
      </c>
      <c r="B1215" s="17" t="s">
        <v>726</v>
      </c>
      <c r="C1215" s="17" t="s">
        <v>713</v>
      </c>
      <c r="D1215" s="17" t="s">
        <v>727</v>
      </c>
      <c r="E1215" s="17"/>
      <c r="F1215" s="17" t="s">
        <v>400</v>
      </c>
      <c r="G1215" s="17"/>
      <c r="H1215" s="18">
        <v>0</v>
      </c>
      <c r="I1215" s="18">
        <v>16.3700</v>
      </c>
      <c r="J1215" s="18">
        <f ca="1">((J1214 + H1215) - I1215)</f>
        <v>0</v>
      </c>
      <c r="K1215" s="18">
        <v>0</v>
      </c>
      <c r="L1215" s="19">
        <v>0</v>
      </c>
      <c r="M1215" s="17"/>
    </row>
    <row r="1216" ht="10.95" customHeight="true" customFormat="true" s="9">
      <c r="A1216" s="16">
        <v>45688</v>
      </c>
      <c r="B1216" s="17" t="s">
        <v>726</v>
      </c>
      <c r="C1216" s="17" t="s">
        <v>713</v>
      </c>
      <c r="D1216" s="17" t="s">
        <v>727</v>
      </c>
      <c r="E1216" s="17"/>
      <c r="F1216" s="17" t="s">
        <v>401</v>
      </c>
      <c r="G1216" s="17"/>
      <c r="H1216" s="18">
        <v>0</v>
      </c>
      <c r="I1216" s="18">
        <v>6.3700</v>
      </c>
      <c r="J1216" s="18">
        <f ca="1">((J1215 + H1216) - I1216)</f>
        <v>0</v>
      </c>
      <c r="K1216" s="18">
        <v>0</v>
      </c>
      <c r="L1216" s="19">
        <v>0</v>
      </c>
      <c r="M1216" s="17"/>
    </row>
    <row r="1217" ht="10.95" customHeight="true" customFormat="true" s="9">
      <c r="A1217" s="16">
        <v>45716</v>
      </c>
      <c r="B1217" s="17" t="s">
        <v>726</v>
      </c>
      <c r="C1217" s="17" t="s">
        <v>713</v>
      </c>
      <c r="D1217" s="17" t="s">
        <v>727</v>
      </c>
      <c r="E1217" s="17"/>
      <c r="F1217" s="17" t="s">
        <v>404</v>
      </c>
      <c r="G1217" s="17"/>
      <c r="H1217" s="18">
        <v>0</v>
      </c>
      <c r="I1217" s="18">
        <v>14.7800</v>
      </c>
      <c r="J1217" s="18">
        <f ca="1">((J1216 + H1217) - I1217)</f>
        <v>0</v>
      </c>
      <c r="K1217" s="18">
        <v>0</v>
      </c>
      <c r="L1217" s="19">
        <v>0</v>
      </c>
      <c r="M1217" s="17"/>
    </row>
    <row r="1218" ht="10.95" customHeight="true" customFormat="true" s="9">
      <c r="A1218" s="16">
        <v>45716</v>
      </c>
      <c r="B1218" s="17" t="s">
        <v>726</v>
      </c>
      <c r="C1218" s="17" t="s">
        <v>713</v>
      </c>
      <c r="D1218" s="17" t="s">
        <v>727</v>
      </c>
      <c r="E1218" s="17"/>
      <c r="F1218" s="17" t="s">
        <v>405</v>
      </c>
      <c r="G1218" s="17"/>
      <c r="H1218" s="18">
        <v>0</v>
      </c>
      <c r="I1218" s="18">
        <v>5.7600</v>
      </c>
      <c r="J1218" s="18">
        <f ca="1">((J1217 + H1218) - I1218)</f>
        <v>0</v>
      </c>
      <c r="K1218" s="18">
        <v>0</v>
      </c>
      <c r="L1218" s="19">
        <v>0</v>
      </c>
      <c r="M1218" s="17"/>
    </row>
    <row r="1219" ht="10.95" customHeight="true" customFormat="true" s="9">
      <c r="A1219" s="16">
        <v>45747</v>
      </c>
      <c r="B1219" s="17" t="s">
        <v>726</v>
      </c>
      <c r="C1219" s="17" t="s">
        <v>713</v>
      </c>
      <c r="D1219" s="17" t="s">
        <v>727</v>
      </c>
      <c r="E1219" s="17"/>
      <c r="F1219" s="17" t="s">
        <v>408</v>
      </c>
      <c r="G1219" s="17"/>
      <c r="H1219" s="18">
        <v>0</v>
      </c>
      <c r="I1219" s="18">
        <v>16.3700</v>
      </c>
      <c r="J1219" s="18">
        <f ca="1">((J1218 + H1219) - I1219)</f>
        <v>0</v>
      </c>
      <c r="K1219" s="18">
        <v>0</v>
      </c>
      <c r="L1219" s="19">
        <v>0</v>
      </c>
      <c r="M1219" s="17"/>
    </row>
    <row r="1220" ht="10.95" customHeight="true" customFormat="true" s="9">
      <c r="A1220" s="16">
        <v>45747</v>
      </c>
      <c r="B1220" s="17" t="s">
        <v>726</v>
      </c>
      <c r="C1220" s="17" t="s">
        <v>713</v>
      </c>
      <c r="D1220" s="17" t="s">
        <v>727</v>
      </c>
      <c r="E1220" s="17"/>
      <c r="F1220" s="17" t="s">
        <v>409</v>
      </c>
      <c r="G1220" s="17"/>
      <c r="H1220" s="18">
        <v>0</v>
      </c>
      <c r="I1220" s="18">
        <v>6.3800</v>
      </c>
      <c r="J1220" s="18">
        <f ca="1">((J1219 + H1220) - I1220)</f>
        <v>0</v>
      </c>
      <c r="K1220" s="18">
        <v>0</v>
      </c>
      <c r="L1220" s="19">
        <v>0</v>
      </c>
      <c r="M1220" s="17"/>
    </row>
    <row r="1221" ht="10.95" customHeight="true" customFormat="true" s="9">
      <c r="A1221" s="20" t="s">
        <v>728</v>
      </c>
      <c r="B1221" s="20"/>
      <c r="C1221" s="20"/>
      <c r="D1221" s="20"/>
      <c r="E1221" s="20"/>
      <c r="F1221" s="20"/>
      <c r="G1221" s="20"/>
      <c r="H1221" s="21">
        <f ca="1">SUM(H1197:H1220)</f>
        <v>0</v>
      </c>
      <c r="I1221" s="21">
        <f ca="1">SUM(I1197:I1220)</f>
        <v>0</v>
      </c>
      <c r="J1221" s="21">
        <f ca="1">J1220</f>
        <v>0</v>
      </c>
      <c r="K1221" s="21">
        <f ca="1">SUM(K1197:K1220)</f>
        <v>0</v>
      </c>
      <c r="L1221" s="20"/>
      <c r="M1221" s="20"/>
    </row>
    <row r="1222" ht="10.95" customHeight="true" customFormat="true" s="9">
      <c r="A1222" s="20" t="s">
        <v>25</v>
      </c>
      <c r="B1222" s="20"/>
      <c r="C1222" s="20"/>
      <c r="D1222" s="20"/>
      <c r="E1222" s="20"/>
      <c r="F1222" s="20"/>
      <c r="G1222" s="20"/>
      <c r="H1222" s="21">
        <v>0</v>
      </c>
      <c r="I1222" s="21">
        <v>267.7400</v>
      </c>
      <c r="J1222" s="21">
        <v>0</v>
      </c>
      <c r="K1222" s="21">
        <v>0</v>
      </c>
      <c r="L1222" s="20"/>
      <c r="M1222" s="20"/>
    </row>
    <row r="1223" ht="10.95" customHeight="true" customFormat="true" s="9">
      <c r="A1223" s="10" t="s">
        <v>26</v>
      </c>
      <c r="B1223" s="10"/>
      <c r="C1223" s="10"/>
      <c r="D1223" s="10"/>
      <c r="E1223" s="10"/>
      <c r="F1223" s="10"/>
      <c r="G1223" s="10"/>
      <c r="H1223" s="11">
        <v>0</v>
      </c>
      <c r="I1223" s="11">
        <v>3912.2800</v>
      </c>
      <c r="J1223" s="11">
        <f ca="1">J1220</f>
        <v>0</v>
      </c>
      <c r="K1223" s="11">
        <v>0</v>
      </c>
      <c r="L1223" s="10"/>
      <c r="M1223" s="10"/>
    </row>
    <row r="1224" ht="13.35" customHeight="true"/>
    <row r="1225" ht="12.1" customHeight="true" customFormat="true" s="5">
      <c r="A1225" s="8" t="s">
        <v>729</v>
      </c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</row>
    <row r="1226" ht="10.95" customHeight="true" customFormat="true" s="9">
      <c r="A1226" s="10" t="s">
        <v>17</v>
      </c>
      <c r="B1226" s="10"/>
      <c r="C1226" s="10"/>
      <c r="D1226" s="10"/>
      <c r="E1226" s="10"/>
      <c r="F1226" s="10"/>
      <c r="G1226" s="10"/>
      <c r="H1226" s="11">
        <v>0</v>
      </c>
      <c r="I1226" s="11">
        <v>1467375.6200</v>
      </c>
      <c r="J1226" s="11">
        <f ca="1">(H1226 - I1226)</f>
        <v>0</v>
      </c>
      <c r="K1226" s="11">
        <v>0</v>
      </c>
      <c r="L1226" s="10"/>
      <c r="M1226" s="10"/>
    </row>
    <row r="1227" ht="10.95" customHeight="true" customFormat="true" s="9">
      <c r="A1227" s="12">
        <v>45383</v>
      </c>
      <c r="B1227" s="13" t="s">
        <v>730</v>
      </c>
      <c r="C1227" s="13" t="s">
        <v>731</v>
      </c>
      <c r="D1227" s="13" t="s">
        <v>732</v>
      </c>
      <c r="E1227" s="13" t="s">
        <v>339</v>
      </c>
      <c r="F1227" s="13" t="s">
        <v>733</v>
      </c>
      <c r="G1227" s="13" t="s">
        <v>38</v>
      </c>
      <c r="H1227" s="14">
        <v>0</v>
      </c>
      <c r="I1227" s="14">
        <v>1934.5800</v>
      </c>
      <c r="J1227" s="14">
        <f ca="1">((J1226 + H1227) - I1227)</f>
        <v>0</v>
      </c>
      <c r="K1227" s="14">
        <v>0</v>
      </c>
      <c r="L1227" s="15">
        <v>0</v>
      </c>
      <c r="M1227" s="13"/>
    </row>
    <row r="1228" ht="10.95" customHeight="true" customFormat="true" s="9">
      <c r="A1228" s="16">
        <v>45409</v>
      </c>
      <c r="B1228" s="17" t="s">
        <v>730</v>
      </c>
      <c r="C1228" s="17" t="s">
        <v>731</v>
      </c>
      <c r="D1228" s="17" t="s">
        <v>732</v>
      </c>
      <c r="E1228" s="17" t="s">
        <v>36</v>
      </c>
      <c r="F1228" s="17" t="s">
        <v>37</v>
      </c>
      <c r="G1228" s="17" t="s">
        <v>38</v>
      </c>
      <c r="H1228" s="18">
        <v>1934.5800</v>
      </c>
      <c r="I1228" s="18">
        <v>0</v>
      </c>
      <c r="J1228" s="18">
        <f ca="1">((J1227 + H1228) - I1228)</f>
        <v>0</v>
      </c>
      <c r="K1228" s="18">
        <v>0</v>
      </c>
      <c r="L1228" s="19">
        <v>0</v>
      </c>
      <c r="M1228" s="17"/>
    </row>
    <row r="1229" ht="10.95" customHeight="true" customFormat="true" s="9">
      <c r="A1229" s="16">
        <v>45412</v>
      </c>
      <c r="B1229" s="17" t="s">
        <v>730</v>
      </c>
      <c r="C1229" s="17" t="s">
        <v>731</v>
      </c>
      <c r="D1229" s="17" t="s">
        <v>732</v>
      </c>
      <c r="E1229" s="17" t="s">
        <v>339</v>
      </c>
      <c r="F1229" s="17" t="s">
        <v>734</v>
      </c>
      <c r="G1229" s="17" t="s">
        <v>44</v>
      </c>
      <c r="H1229" s="18">
        <v>0</v>
      </c>
      <c r="I1229" s="18">
        <v>2603.9800</v>
      </c>
      <c r="J1229" s="18">
        <f ca="1">((J1228 + H1229) - I1229)</f>
        <v>0</v>
      </c>
      <c r="K1229" s="18">
        <v>0</v>
      </c>
      <c r="L1229" s="19">
        <v>0</v>
      </c>
      <c r="M1229" s="17"/>
    </row>
    <row r="1230" ht="10.95" customHeight="true" customFormat="true" s="9">
      <c r="A1230" s="16">
        <v>45412</v>
      </c>
      <c r="B1230" s="17" t="s">
        <v>730</v>
      </c>
      <c r="C1230" s="17" t="s">
        <v>731</v>
      </c>
      <c r="D1230" s="17" t="s">
        <v>732</v>
      </c>
      <c r="E1230" s="17" t="s">
        <v>339</v>
      </c>
      <c r="F1230" s="17" t="s">
        <v>735</v>
      </c>
      <c r="G1230" s="17" t="s">
        <v>99</v>
      </c>
      <c r="H1230" s="18">
        <v>0</v>
      </c>
      <c r="I1230" s="18">
        <v>18464.2900</v>
      </c>
      <c r="J1230" s="18">
        <f ca="1">((J1229 + H1230) - I1230)</f>
        <v>0</v>
      </c>
      <c r="K1230" s="18">
        <v>0</v>
      </c>
      <c r="L1230" s="19">
        <v>0</v>
      </c>
      <c r="M1230" s="17"/>
    </row>
    <row r="1231" ht="10.95" customHeight="true" customFormat="true" s="9">
      <c r="A1231" s="16">
        <v>45413</v>
      </c>
      <c r="B1231" s="17" t="s">
        <v>730</v>
      </c>
      <c r="C1231" s="17" t="s">
        <v>731</v>
      </c>
      <c r="D1231" s="17" t="s">
        <v>732</v>
      </c>
      <c r="E1231" s="17" t="s">
        <v>339</v>
      </c>
      <c r="F1231" s="17" t="s">
        <v>733</v>
      </c>
      <c r="G1231" s="17" t="s">
        <v>38</v>
      </c>
      <c r="H1231" s="18">
        <v>0</v>
      </c>
      <c r="I1231" s="18">
        <v>1934.5900</v>
      </c>
      <c r="J1231" s="18">
        <f ca="1">((J1230 + H1231) - I1231)</f>
        <v>0</v>
      </c>
      <c r="K1231" s="18">
        <v>0</v>
      </c>
      <c r="L1231" s="19">
        <v>0</v>
      </c>
      <c r="M1231" s="17"/>
    </row>
    <row r="1232" ht="10.95" customHeight="true" customFormat="true" s="9">
      <c r="A1232" s="16">
        <v>45415</v>
      </c>
      <c r="B1232" s="17" t="s">
        <v>730</v>
      </c>
      <c r="C1232" s="17" t="s">
        <v>731</v>
      </c>
      <c r="D1232" s="17" t="s">
        <v>732</v>
      </c>
      <c r="E1232" s="17" t="s">
        <v>339</v>
      </c>
      <c r="F1232" s="17" t="s">
        <v>736</v>
      </c>
      <c r="G1232" s="17"/>
      <c r="H1232" s="18">
        <v>0</v>
      </c>
      <c r="I1232" s="18">
        <v>310.0000</v>
      </c>
      <c r="J1232" s="18">
        <f ca="1">((J1231 + H1232) - I1232)</f>
        <v>0</v>
      </c>
      <c r="K1232" s="18">
        <v>0</v>
      </c>
      <c r="L1232" s="19">
        <v>0</v>
      </c>
      <c r="M1232" s="17"/>
    </row>
    <row r="1233" ht="10.95" customHeight="true" customFormat="true" s="9">
      <c r="A1233" s="16">
        <v>45415</v>
      </c>
      <c r="B1233" s="17" t="s">
        <v>730</v>
      </c>
      <c r="C1233" s="17" t="s">
        <v>731</v>
      </c>
      <c r="D1233" s="17" t="s">
        <v>732</v>
      </c>
      <c r="E1233" s="17" t="s">
        <v>36</v>
      </c>
      <c r="F1233" s="17" t="s">
        <v>42</v>
      </c>
      <c r="G1233" s="17"/>
      <c r="H1233" s="18">
        <v>310.0000</v>
      </c>
      <c r="I1233" s="18">
        <v>0</v>
      </c>
      <c r="J1233" s="18">
        <f ca="1">((J1232 + H1233) - I1233)</f>
        <v>0</v>
      </c>
      <c r="K1233" s="18">
        <v>0</v>
      </c>
      <c r="L1233" s="19">
        <v>0</v>
      </c>
      <c r="M1233" s="17"/>
    </row>
    <row r="1234" ht="10.95" customHeight="true" customFormat="true" s="9">
      <c r="A1234" s="16">
        <v>45415</v>
      </c>
      <c r="B1234" s="17" t="s">
        <v>730</v>
      </c>
      <c r="C1234" s="17" t="s">
        <v>731</v>
      </c>
      <c r="D1234" s="17" t="s">
        <v>732</v>
      </c>
      <c r="E1234" s="17" t="s">
        <v>36</v>
      </c>
      <c r="F1234" s="17" t="s">
        <v>43</v>
      </c>
      <c r="G1234" s="17" t="s">
        <v>44</v>
      </c>
      <c r="H1234" s="18">
        <v>2603.9800</v>
      </c>
      <c r="I1234" s="18">
        <v>0</v>
      </c>
      <c r="J1234" s="18">
        <f ca="1">((J1233 + H1234) - I1234)</f>
        <v>0</v>
      </c>
      <c r="K1234" s="18">
        <v>0</v>
      </c>
      <c r="L1234" s="19">
        <v>0</v>
      </c>
      <c r="M1234" s="17"/>
    </row>
    <row r="1235" ht="10.95" customHeight="true" customFormat="true" s="9">
      <c r="A1235" s="16">
        <v>45432</v>
      </c>
      <c r="B1235" s="17" t="s">
        <v>730</v>
      </c>
      <c r="C1235" s="17" t="s">
        <v>731</v>
      </c>
      <c r="D1235" s="17" t="s">
        <v>732</v>
      </c>
      <c r="E1235" s="17" t="s">
        <v>36</v>
      </c>
      <c r="F1235" s="17" t="s">
        <v>76</v>
      </c>
      <c r="G1235" s="17" t="s">
        <v>77</v>
      </c>
      <c r="H1235" s="18">
        <v>235570.8700</v>
      </c>
      <c r="I1235" s="18">
        <v>0</v>
      </c>
      <c r="J1235" s="18">
        <f ca="1">((J1234 + H1235) - I1235)</f>
        <v>0</v>
      </c>
      <c r="K1235" s="18">
        <v>0</v>
      </c>
      <c r="L1235" s="19">
        <v>0</v>
      </c>
      <c r="M1235" s="17"/>
    </row>
    <row r="1236" ht="10.95" customHeight="true" customFormat="true" s="9">
      <c r="A1236" s="16">
        <v>45432</v>
      </c>
      <c r="B1236" s="17" t="s">
        <v>730</v>
      </c>
      <c r="C1236" s="17" t="s">
        <v>731</v>
      </c>
      <c r="D1236" s="17" t="s">
        <v>732</v>
      </c>
      <c r="E1236" s="17" t="s">
        <v>36</v>
      </c>
      <c r="F1236" s="17" t="s">
        <v>76</v>
      </c>
      <c r="G1236" s="17" t="s">
        <v>78</v>
      </c>
      <c r="H1236" s="18">
        <v>18236.6400</v>
      </c>
      <c r="I1236" s="18">
        <v>0</v>
      </c>
      <c r="J1236" s="18">
        <f ca="1">((J1235 + H1236) - I1236)</f>
        <v>0</v>
      </c>
      <c r="K1236" s="18">
        <v>0</v>
      </c>
      <c r="L1236" s="19">
        <v>0</v>
      </c>
      <c r="M1236" s="17"/>
    </row>
    <row r="1237" ht="10.95" customHeight="true" customFormat="true" s="9">
      <c r="A1237" s="16">
        <v>45432</v>
      </c>
      <c r="B1237" s="17" t="s">
        <v>730</v>
      </c>
      <c r="C1237" s="17" t="s">
        <v>731</v>
      </c>
      <c r="D1237" s="17" t="s">
        <v>732</v>
      </c>
      <c r="E1237" s="17" t="s">
        <v>36</v>
      </c>
      <c r="F1237" s="17" t="s">
        <v>76</v>
      </c>
      <c r="G1237" s="17" t="s">
        <v>79</v>
      </c>
      <c r="H1237" s="18">
        <v>18466.5700</v>
      </c>
      <c r="I1237" s="18">
        <v>0</v>
      </c>
      <c r="J1237" s="18">
        <f ca="1">((J1236 + H1237) - I1237)</f>
        <v>0</v>
      </c>
      <c r="K1237" s="18">
        <v>0</v>
      </c>
      <c r="L1237" s="19">
        <v>0</v>
      </c>
      <c r="M1237" s="17"/>
    </row>
    <row r="1238" ht="10.95" customHeight="true" customFormat="true" s="9">
      <c r="A1238" s="16">
        <v>45432</v>
      </c>
      <c r="B1238" s="17" t="s">
        <v>730</v>
      </c>
      <c r="C1238" s="17" t="s">
        <v>731</v>
      </c>
      <c r="D1238" s="17" t="s">
        <v>732</v>
      </c>
      <c r="E1238" s="17" t="s">
        <v>36</v>
      </c>
      <c r="F1238" s="17" t="s">
        <v>76</v>
      </c>
      <c r="G1238" s="17" t="s">
        <v>80</v>
      </c>
      <c r="H1238" s="18">
        <v>18381.8500</v>
      </c>
      <c r="I1238" s="18">
        <v>0</v>
      </c>
      <c r="J1238" s="18">
        <f ca="1">((J1237 + H1238) - I1238)</f>
        <v>0</v>
      </c>
      <c r="K1238" s="18">
        <v>0</v>
      </c>
      <c r="L1238" s="19">
        <v>0</v>
      </c>
      <c r="M1238" s="17"/>
    </row>
    <row r="1239" ht="10.95" customHeight="true" customFormat="true" s="9">
      <c r="A1239" s="16">
        <v>45439</v>
      </c>
      <c r="B1239" s="17" t="s">
        <v>730</v>
      </c>
      <c r="C1239" s="17" t="s">
        <v>731</v>
      </c>
      <c r="D1239" s="17" t="s">
        <v>732</v>
      </c>
      <c r="E1239" s="17" t="s">
        <v>36</v>
      </c>
      <c r="F1239" s="17" t="s">
        <v>37</v>
      </c>
      <c r="G1239" s="17" t="s">
        <v>38</v>
      </c>
      <c r="H1239" s="18">
        <v>1934.5900</v>
      </c>
      <c r="I1239" s="18">
        <v>0</v>
      </c>
      <c r="J1239" s="18">
        <f ca="1">((J1238 + H1239) - I1239)</f>
        <v>0</v>
      </c>
      <c r="K1239" s="18">
        <v>0</v>
      </c>
      <c r="L1239" s="19">
        <v>0</v>
      </c>
      <c r="M1239" s="17"/>
    </row>
    <row r="1240" ht="10.95" customHeight="true" customFormat="true" s="9">
      <c r="A1240" s="16">
        <v>45443</v>
      </c>
      <c r="B1240" s="17" t="s">
        <v>730</v>
      </c>
      <c r="C1240" s="17" t="s">
        <v>731</v>
      </c>
      <c r="D1240" s="17" t="s">
        <v>732</v>
      </c>
      <c r="E1240" s="17" t="s">
        <v>339</v>
      </c>
      <c r="F1240" s="17" t="s">
        <v>735</v>
      </c>
      <c r="G1240" s="17" t="s">
        <v>111</v>
      </c>
      <c r="H1240" s="18">
        <v>0</v>
      </c>
      <c r="I1240" s="18">
        <v>15007.2900</v>
      </c>
      <c r="J1240" s="18">
        <f ca="1">((J1239 + H1240) - I1240)</f>
        <v>0</v>
      </c>
      <c r="K1240" s="18">
        <v>0</v>
      </c>
      <c r="L1240" s="19">
        <v>0</v>
      </c>
      <c r="M1240" s="17"/>
    </row>
    <row r="1241" ht="10.95" customHeight="true" customFormat="true" s="9">
      <c r="A1241" s="16">
        <v>45443</v>
      </c>
      <c r="B1241" s="17" t="s">
        <v>730</v>
      </c>
      <c r="C1241" s="17" t="s">
        <v>731</v>
      </c>
      <c r="D1241" s="17" t="s">
        <v>732</v>
      </c>
      <c r="E1241" s="17" t="s">
        <v>339</v>
      </c>
      <c r="F1241" s="17" t="s">
        <v>735</v>
      </c>
      <c r="G1241" s="17" t="s">
        <v>112</v>
      </c>
      <c r="H1241" s="18">
        <v>0</v>
      </c>
      <c r="I1241" s="18">
        <v>108589.3700</v>
      </c>
      <c r="J1241" s="18">
        <f ca="1">((J1240 + H1241) - I1241)</f>
        <v>0</v>
      </c>
      <c r="K1241" s="18">
        <v>0</v>
      </c>
      <c r="L1241" s="19">
        <v>0</v>
      </c>
      <c r="M1241" s="17"/>
    </row>
    <row r="1242" ht="10.95" customHeight="true" customFormat="true" s="9">
      <c r="A1242" s="16">
        <v>45443</v>
      </c>
      <c r="B1242" s="17" t="s">
        <v>730</v>
      </c>
      <c r="C1242" s="17" t="s">
        <v>731</v>
      </c>
      <c r="D1242" s="17" t="s">
        <v>732</v>
      </c>
      <c r="E1242" s="17" t="s">
        <v>339</v>
      </c>
      <c r="F1242" s="17" t="s">
        <v>735</v>
      </c>
      <c r="G1242" s="17" t="s">
        <v>121</v>
      </c>
      <c r="H1242" s="18">
        <v>0</v>
      </c>
      <c r="I1242" s="18">
        <v>68853.4500</v>
      </c>
      <c r="J1242" s="18">
        <f ca="1">((J1241 + H1242) - I1242)</f>
        <v>0</v>
      </c>
      <c r="K1242" s="18">
        <v>0</v>
      </c>
      <c r="L1242" s="19">
        <v>0</v>
      </c>
      <c r="M1242" s="17"/>
    </row>
    <row r="1243" ht="10.95" customHeight="true" customFormat="true" s="9">
      <c r="A1243" s="16">
        <v>45443</v>
      </c>
      <c r="B1243" s="17" t="s">
        <v>730</v>
      </c>
      <c r="C1243" s="17" t="s">
        <v>731</v>
      </c>
      <c r="D1243" s="17" t="s">
        <v>732</v>
      </c>
      <c r="E1243" s="17" t="s">
        <v>339</v>
      </c>
      <c r="F1243" s="17" t="s">
        <v>735</v>
      </c>
      <c r="G1243" s="17" t="s">
        <v>122</v>
      </c>
      <c r="H1243" s="18">
        <v>0</v>
      </c>
      <c r="I1243" s="18">
        <v>103228.5500</v>
      </c>
      <c r="J1243" s="18">
        <f ca="1">((J1242 + H1243) - I1243)</f>
        <v>0</v>
      </c>
      <c r="K1243" s="18">
        <v>0</v>
      </c>
      <c r="L1243" s="19">
        <v>0</v>
      </c>
      <c r="M1243" s="17"/>
    </row>
    <row r="1244" ht="10.95" customHeight="true" customFormat="true" s="9">
      <c r="A1244" s="16">
        <v>45443</v>
      </c>
      <c r="B1244" s="17" t="s">
        <v>730</v>
      </c>
      <c r="C1244" s="17" t="s">
        <v>731</v>
      </c>
      <c r="D1244" s="17" t="s">
        <v>732</v>
      </c>
      <c r="E1244" s="17" t="s">
        <v>339</v>
      </c>
      <c r="F1244" s="17" t="s">
        <v>735</v>
      </c>
      <c r="G1244" s="17" t="s">
        <v>123</v>
      </c>
      <c r="H1244" s="18">
        <v>0</v>
      </c>
      <c r="I1244" s="18">
        <v>119203.3300</v>
      </c>
      <c r="J1244" s="18">
        <f ca="1">((J1243 + H1244) - I1244)</f>
        <v>0</v>
      </c>
      <c r="K1244" s="18">
        <v>0</v>
      </c>
      <c r="L1244" s="19">
        <v>0</v>
      </c>
      <c r="M1244" s="17"/>
    </row>
    <row r="1245" ht="10.95" customHeight="true" customFormat="true" s="9">
      <c r="A1245" s="16">
        <v>45443</v>
      </c>
      <c r="B1245" s="17" t="s">
        <v>730</v>
      </c>
      <c r="C1245" s="17" t="s">
        <v>731</v>
      </c>
      <c r="D1245" s="17" t="s">
        <v>732</v>
      </c>
      <c r="E1245" s="17" t="s">
        <v>339</v>
      </c>
      <c r="F1245" s="17" t="s">
        <v>735</v>
      </c>
      <c r="G1245" s="17" t="s">
        <v>124</v>
      </c>
      <c r="H1245" s="18">
        <v>0</v>
      </c>
      <c r="I1245" s="18">
        <v>224989.2900</v>
      </c>
      <c r="J1245" s="18">
        <f ca="1">((J1244 + H1245) - I1245)</f>
        <v>0</v>
      </c>
      <c r="K1245" s="18">
        <v>0</v>
      </c>
      <c r="L1245" s="19">
        <v>0</v>
      </c>
      <c r="M1245" s="17"/>
    </row>
    <row r="1246" ht="10.95" customHeight="true" customFormat="true" s="9">
      <c r="A1246" s="16">
        <v>45443</v>
      </c>
      <c r="B1246" s="17" t="s">
        <v>730</v>
      </c>
      <c r="C1246" s="17" t="s">
        <v>731</v>
      </c>
      <c r="D1246" s="17" t="s">
        <v>732</v>
      </c>
      <c r="E1246" s="17" t="s">
        <v>339</v>
      </c>
      <c r="F1246" s="17" t="s">
        <v>735</v>
      </c>
      <c r="G1246" s="17" t="s">
        <v>125</v>
      </c>
      <c r="H1246" s="18">
        <v>0</v>
      </c>
      <c r="I1246" s="18">
        <v>12005.8300</v>
      </c>
      <c r="J1246" s="18">
        <f ca="1">((J1245 + H1246) - I1246)</f>
        <v>0</v>
      </c>
      <c r="K1246" s="18">
        <v>0</v>
      </c>
      <c r="L1246" s="19">
        <v>0</v>
      </c>
      <c r="M1246" s="17"/>
    </row>
    <row r="1247" ht="10.95" customHeight="true" customFormat="true" s="9">
      <c r="A1247" s="16">
        <v>45443</v>
      </c>
      <c r="B1247" s="17" t="s">
        <v>730</v>
      </c>
      <c r="C1247" s="17" t="s">
        <v>731</v>
      </c>
      <c r="D1247" s="17" t="s">
        <v>732</v>
      </c>
      <c r="E1247" s="17" t="s">
        <v>339</v>
      </c>
      <c r="F1247" s="17" t="s">
        <v>735</v>
      </c>
      <c r="G1247" s="17" t="s">
        <v>129</v>
      </c>
      <c r="H1247" s="18">
        <v>0</v>
      </c>
      <c r="I1247" s="18">
        <v>117537.0900</v>
      </c>
      <c r="J1247" s="18">
        <f ca="1">((J1246 + H1247) - I1247)</f>
        <v>0</v>
      </c>
      <c r="K1247" s="18">
        <v>0</v>
      </c>
      <c r="L1247" s="19">
        <v>0</v>
      </c>
      <c r="M1247" s="17"/>
    </row>
    <row r="1248" ht="10.95" customHeight="true" customFormat="true" s="9">
      <c r="A1248" s="16">
        <v>45443</v>
      </c>
      <c r="B1248" s="17" t="s">
        <v>730</v>
      </c>
      <c r="C1248" s="17" t="s">
        <v>731</v>
      </c>
      <c r="D1248" s="17" t="s">
        <v>732</v>
      </c>
      <c r="E1248" s="17" t="s">
        <v>339</v>
      </c>
      <c r="F1248" s="17" t="s">
        <v>735</v>
      </c>
      <c r="G1248" s="17" t="s">
        <v>132</v>
      </c>
      <c r="H1248" s="18">
        <v>0</v>
      </c>
      <c r="I1248" s="18">
        <v>17999.7500</v>
      </c>
      <c r="J1248" s="18">
        <f ca="1">((J1247 + H1248) - I1248)</f>
        <v>0</v>
      </c>
      <c r="K1248" s="18">
        <v>0</v>
      </c>
      <c r="L1248" s="19">
        <v>0</v>
      </c>
      <c r="M1248" s="17"/>
    </row>
    <row r="1249" ht="10.95" customHeight="true" customFormat="true" s="9">
      <c r="A1249" s="16">
        <v>45443</v>
      </c>
      <c r="B1249" s="17" t="s">
        <v>730</v>
      </c>
      <c r="C1249" s="17" t="s">
        <v>731</v>
      </c>
      <c r="D1249" s="17" t="s">
        <v>732</v>
      </c>
      <c r="E1249" s="17" t="s">
        <v>339</v>
      </c>
      <c r="F1249" s="17" t="s">
        <v>735</v>
      </c>
      <c r="G1249" s="17" t="s">
        <v>100</v>
      </c>
      <c r="H1249" s="18">
        <v>0</v>
      </c>
      <c r="I1249" s="18">
        <v>118180.4500</v>
      </c>
      <c r="J1249" s="18">
        <f ca="1">((J1248 + H1249) - I1249)</f>
        <v>0</v>
      </c>
      <c r="K1249" s="18">
        <v>0</v>
      </c>
      <c r="L1249" s="19">
        <v>0</v>
      </c>
      <c r="M1249" s="17"/>
    </row>
    <row r="1250" ht="10.95" customHeight="true" customFormat="true" s="9">
      <c r="A1250" s="16">
        <v>45443</v>
      </c>
      <c r="B1250" s="17" t="s">
        <v>730</v>
      </c>
      <c r="C1250" s="17" t="s">
        <v>731</v>
      </c>
      <c r="D1250" s="17" t="s">
        <v>732</v>
      </c>
      <c r="E1250" s="17" t="s">
        <v>339</v>
      </c>
      <c r="F1250" s="17" t="s">
        <v>735</v>
      </c>
      <c r="G1250" s="17" t="s">
        <v>109</v>
      </c>
      <c r="H1250" s="18">
        <v>0</v>
      </c>
      <c r="I1250" s="18">
        <v>237595.4100</v>
      </c>
      <c r="J1250" s="18">
        <f ca="1">((J1249 + H1250) - I1250)</f>
        <v>0</v>
      </c>
      <c r="K1250" s="18">
        <v>0</v>
      </c>
      <c r="L1250" s="19">
        <v>0</v>
      </c>
      <c r="M1250" s="17"/>
    </row>
    <row r="1251" ht="10.95" customHeight="true" customFormat="true" s="9">
      <c r="A1251" s="16">
        <v>45443</v>
      </c>
      <c r="B1251" s="17" t="s">
        <v>730</v>
      </c>
      <c r="C1251" s="17" t="s">
        <v>731</v>
      </c>
      <c r="D1251" s="17" t="s">
        <v>732</v>
      </c>
      <c r="E1251" s="17" t="s">
        <v>339</v>
      </c>
      <c r="F1251" s="17" t="s">
        <v>735</v>
      </c>
      <c r="G1251" s="17" t="s">
        <v>105</v>
      </c>
      <c r="H1251" s="18">
        <v>0</v>
      </c>
      <c r="I1251" s="18">
        <v>68853.4500</v>
      </c>
      <c r="J1251" s="18">
        <f ca="1">((J1250 + H1251) - I1251)</f>
        <v>0</v>
      </c>
      <c r="K1251" s="18">
        <v>0</v>
      </c>
      <c r="L1251" s="19">
        <v>0</v>
      </c>
      <c r="M1251" s="17"/>
    </row>
    <row r="1252" ht="10.95" customHeight="true" customFormat="true" s="9">
      <c r="A1252" s="16">
        <v>45443</v>
      </c>
      <c r="B1252" s="17" t="s">
        <v>730</v>
      </c>
      <c r="C1252" s="17" t="s">
        <v>731</v>
      </c>
      <c r="D1252" s="17" t="s">
        <v>732</v>
      </c>
      <c r="E1252" s="17" t="s">
        <v>339</v>
      </c>
      <c r="F1252" s="17" t="s">
        <v>735</v>
      </c>
      <c r="G1252" s="17" t="s">
        <v>110</v>
      </c>
      <c r="H1252" s="18">
        <v>0</v>
      </c>
      <c r="I1252" s="18">
        <v>533299.0500</v>
      </c>
      <c r="J1252" s="18">
        <f ca="1">((J1251 + H1252) - I1252)</f>
        <v>0</v>
      </c>
      <c r="K1252" s="18">
        <v>0</v>
      </c>
      <c r="L1252" s="19">
        <v>0</v>
      </c>
      <c r="M1252" s="17"/>
    </row>
    <row r="1253" ht="10.95" customHeight="true" customFormat="true" s="9">
      <c r="A1253" s="16">
        <v>45443</v>
      </c>
      <c r="B1253" s="17" t="s">
        <v>730</v>
      </c>
      <c r="C1253" s="17" t="s">
        <v>731</v>
      </c>
      <c r="D1253" s="17" t="s">
        <v>732</v>
      </c>
      <c r="E1253" s="17" t="s">
        <v>339</v>
      </c>
      <c r="F1253" s="17" t="s">
        <v>735</v>
      </c>
      <c r="G1253" s="17" t="s">
        <v>130</v>
      </c>
      <c r="H1253" s="18">
        <v>0</v>
      </c>
      <c r="I1253" s="18">
        <v>6002.9200</v>
      </c>
      <c r="J1253" s="18">
        <f ca="1">((J1252 + H1253) - I1253)</f>
        <v>0</v>
      </c>
      <c r="K1253" s="18">
        <v>0</v>
      </c>
      <c r="L1253" s="19">
        <v>0</v>
      </c>
      <c r="M1253" s="17"/>
    </row>
    <row r="1254" ht="10.95" customHeight="true" customFormat="true" s="9">
      <c r="A1254" s="16">
        <v>45443</v>
      </c>
      <c r="B1254" s="17" t="s">
        <v>730</v>
      </c>
      <c r="C1254" s="17" t="s">
        <v>731</v>
      </c>
      <c r="D1254" s="17" t="s">
        <v>732</v>
      </c>
      <c r="E1254" s="17" t="s">
        <v>339</v>
      </c>
      <c r="F1254" s="17" t="s">
        <v>735</v>
      </c>
      <c r="G1254" s="17" t="s">
        <v>108</v>
      </c>
      <c r="H1254" s="18">
        <v>0</v>
      </c>
      <c r="I1254" s="18">
        <v>137804.6300</v>
      </c>
      <c r="J1254" s="18">
        <f ca="1">((J1253 + H1254) - I1254)</f>
        <v>0</v>
      </c>
      <c r="K1254" s="18">
        <v>0</v>
      </c>
      <c r="L1254" s="19">
        <v>0</v>
      </c>
      <c r="M1254" s="17"/>
    </row>
    <row r="1255" ht="10.95" customHeight="true" customFormat="true" s="9">
      <c r="A1255" s="16">
        <v>45444</v>
      </c>
      <c r="B1255" s="17" t="s">
        <v>730</v>
      </c>
      <c r="C1255" s="17" t="s">
        <v>731</v>
      </c>
      <c r="D1255" s="17" t="s">
        <v>732</v>
      </c>
      <c r="E1255" s="17" t="s">
        <v>339</v>
      </c>
      <c r="F1255" s="17" t="s">
        <v>733</v>
      </c>
      <c r="G1255" s="17" t="s">
        <v>38</v>
      </c>
      <c r="H1255" s="18">
        <v>0</v>
      </c>
      <c r="I1255" s="18">
        <v>1934.5900</v>
      </c>
      <c r="J1255" s="18">
        <f ca="1">((J1254 + H1255) - I1255)</f>
        <v>0</v>
      </c>
      <c r="K1255" s="18">
        <v>0</v>
      </c>
      <c r="L1255" s="19">
        <v>0</v>
      </c>
      <c r="M1255" s="17"/>
    </row>
    <row r="1256" ht="10.95" customHeight="true" customFormat="true" s="9">
      <c r="A1256" s="16">
        <v>45463</v>
      </c>
      <c r="B1256" s="17" t="s">
        <v>730</v>
      </c>
      <c r="C1256" s="17" t="s">
        <v>731</v>
      </c>
      <c r="D1256" s="17" t="s">
        <v>732</v>
      </c>
      <c r="E1256" s="17" t="s">
        <v>36</v>
      </c>
      <c r="F1256" s="17" t="s">
        <v>43</v>
      </c>
      <c r="G1256" s="17" t="s">
        <v>45</v>
      </c>
      <c r="H1256" s="18">
        <v>2750.0000</v>
      </c>
      <c r="I1256" s="18">
        <v>0</v>
      </c>
      <c r="J1256" s="18">
        <f ca="1">((J1255 + H1256) - I1256)</f>
        <v>0</v>
      </c>
      <c r="K1256" s="18">
        <v>0</v>
      </c>
      <c r="L1256" s="19">
        <v>0</v>
      </c>
      <c r="M1256" s="17"/>
    </row>
    <row r="1257" ht="10.95" customHeight="true" customFormat="true" s="9">
      <c r="A1257" s="16">
        <v>45463</v>
      </c>
      <c r="B1257" s="17" t="s">
        <v>730</v>
      </c>
      <c r="C1257" s="17" t="s">
        <v>731</v>
      </c>
      <c r="D1257" s="17" t="s">
        <v>732</v>
      </c>
      <c r="E1257" s="17" t="s">
        <v>36</v>
      </c>
      <c r="F1257" s="17" t="s">
        <v>43</v>
      </c>
      <c r="G1257" s="17" t="s">
        <v>46</v>
      </c>
      <c r="H1257" s="18">
        <v>770.0000</v>
      </c>
      <c r="I1257" s="18">
        <v>0</v>
      </c>
      <c r="J1257" s="18">
        <f ca="1">((J1256 + H1257) - I1257)</f>
        <v>0</v>
      </c>
      <c r="K1257" s="18">
        <v>0</v>
      </c>
      <c r="L1257" s="19">
        <v>0</v>
      </c>
      <c r="M1257" s="17"/>
    </row>
    <row r="1258" ht="10.95" customHeight="true" customFormat="true" s="9">
      <c r="A1258" s="16">
        <v>45470</v>
      </c>
      <c r="B1258" s="17" t="s">
        <v>730</v>
      </c>
      <c r="C1258" s="17" t="s">
        <v>731</v>
      </c>
      <c r="D1258" s="17" t="s">
        <v>732</v>
      </c>
      <c r="E1258" s="17" t="s">
        <v>36</v>
      </c>
      <c r="F1258" s="17" t="s">
        <v>37</v>
      </c>
      <c r="G1258" s="17" t="s">
        <v>38</v>
      </c>
      <c r="H1258" s="18">
        <v>1934.5900</v>
      </c>
      <c r="I1258" s="18">
        <v>0</v>
      </c>
      <c r="J1258" s="18">
        <f ca="1">((J1257 + H1258) - I1258)</f>
        <v>0</v>
      </c>
      <c r="K1258" s="18">
        <v>0</v>
      </c>
      <c r="L1258" s="19">
        <v>0</v>
      </c>
      <c r="M1258" s="17"/>
    </row>
    <row r="1259" ht="10.95" customHeight="true" customFormat="true" s="9">
      <c r="A1259" s="16">
        <v>45473</v>
      </c>
      <c r="B1259" s="17" t="s">
        <v>730</v>
      </c>
      <c r="C1259" s="17" t="s">
        <v>731</v>
      </c>
      <c r="D1259" s="17" t="s">
        <v>732</v>
      </c>
      <c r="E1259" s="17" t="s">
        <v>339</v>
      </c>
      <c r="F1259" s="17" t="s">
        <v>734</v>
      </c>
      <c r="G1259" s="17" t="s">
        <v>46</v>
      </c>
      <c r="H1259" s="18">
        <v>0</v>
      </c>
      <c r="I1259" s="18">
        <v>770.0000</v>
      </c>
      <c r="J1259" s="18">
        <f ca="1">((J1258 + H1259) - I1259)</f>
        <v>0</v>
      </c>
      <c r="K1259" s="18">
        <v>0</v>
      </c>
      <c r="L1259" s="19">
        <v>0</v>
      </c>
      <c r="M1259" s="17"/>
    </row>
    <row r="1260" ht="10.95" customHeight="true" customFormat="true" s="9">
      <c r="A1260" s="16">
        <v>45473</v>
      </c>
      <c r="B1260" s="17" t="s">
        <v>730</v>
      </c>
      <c r="C1260" s="17" t="s">
        <v>731</v>
      </c>
      <c r="D1260" s="17" t="s">
        <v>732</v>
      </c>
      <c r="E1260" s="17" t="s">
        <v>339</v>
      </c>
      <c r="F1260" s="17" t="s">
        <v>734</v>
      </c>
      <c r="G1260" s="17" t="s">
        <v>45</v>
      </c>
      <c r="H1260" s="18">
        <v>0</v>
      </c>
      <c r="I1260" s="18">
        <v>2750.0000</v>
      </c>
      <c r="J1260" s="18">
        <f ca="1">((J1259 + H1260) - I1260)</f>
        <v>0</v>
      </c>
      <c r="K1260" s="18">
        <v>0</v>
      </c>
      <c r="L1260" s="19">
        <v>0</v>
      </c>
      <c r="M1260" s="17"/>
    </row>
    <row r="1261" ht="10.95" customHeight="true" customFormat="true" s="9">
      <c r="A1261" s="16">
        <v>45473</v>
      </c>
      <c r="B1261" s="17" t="s">
        <v>730</v>
      </c>
      <c r="C1261" s="17" t="s">
        <v>731</v>
      </c>
      <c r="D1261" s="17" t="s">
        <v>732</v>
      </c>
      <c r="E1261" s="17" t="s">
        <v>339</v>
      </c>
      <c r="F1261" s="17" t="s">
        <v>734</v>
      </c>
      <c r="G1261" s="17" t="s">
        <v>50</v>
      </c>
      <c r="H1261" s="18">
        <v>0</v>
      </c>
      <c r="I1261" s="18">
        <v>2750.0000</v>
      </c>
      <c r="J1261" s="18">
        <f ca="1">((J1260 + H1261) - I1261)</f>
        <v>0</v>
      </c>
      <c r="K1261" s="18">
        <v>0</v>
      </c>
      <c r="L1261" s="19">
        <v>0</v>
      </c>
      <c r="M1261" s="17"/>
    </row>
    <row r="1262" ht="10.95" customHeight="true" customFormat="true" s="9">
      <c r="A1262" s="16">
        <v>45473</v>
      </c>
      <c r="B1262" s="17" t="s">
        <v>730</v>
      </c>
      <c r="C1262" s="17" t="s">
        <v>731</v>
      </c>
      <c r="D1262" s="17" t="s">
        <v>732</v>
      </c>
      <c r="E1262" s="17" t="s">
        <v>339</v>
      </c>
      <c r="F1262" s="17" t="s">
        <v>735</v>
      </c>
      <c r="G1262" s="17" t="s">
        <v>134</v>
      </c>
      <c r="H1262" s="18">
        <v>0</v>
      </c>
      <c r="I1262" s="18">
        <v>10838.4800</v>
      </c>
      <c r="J1262" s="18">
        <f ca="1">((J1261 + H1262) - I1262)</f>
        <v>0</v>
      </c>
      <c r="K1262" s="18">
        <v>0</v>
      </c>
      <c r="L1262" s="19">
        <v>0</v>
      </c>
      <c r="M1262" s="17"/>
    </row>
    <row r="1263" ht="10.95" customHeight="true" customFormat="true" s="9">
      <c r="A1263" s="16">
        <v>45473</v>
      </c>
      <c r="B1263" s="17" t="s">
        <v>730</v>
      </c>
      <c r="C1263" s="17" t="s">
        <v>731</v>
      </c>
      <c r="D1263" s="17" t="s">
        <v>732</v>
      </c>
      <c r="E1263" s="17" t="s">
        <v>339</v>
      </c>
      <c r="F1263" s="17" t="s">
        <v>735</v>
      </c>
      <c r="G1263" s="17" t="s">
        <v>133</v>
      </c>
      <c r="H1263" s="18">
        <v>0</v>
      </c>
      <c r="I1263" s="18">
        <v>166600.8400</v>
      </c>
      <c r="J1263" s="18">
        <f ca="1">((J1262 + H1263) - I1263)</f>
        <v>0</v>
      </c>
      <c r="K1263" s="18">
        <v>0</v>
      </c>
      <c r="L1263" s="19">
        <v>0</v>
      </c>
      <c r="M1263" s="17"/>
    </row>
    <row r="1264" ht="10.95" customHeight="true" customFormat="true" s="9">
      <c r="A1264" s="16">
        <v>45473</v>
      </c>
      <c r="B1264" s="17" t="s">
        <v>730</v>
      </c>
      <c r="C1264" s="17" t="s">
        <v>731</v>
      </c>
      <c r="D1264" s="17" t="s">
        <v>732</v>
      </c>
      <c r="E1264" s="17" t="s">
        <v>339</v>
      </c>
      <c r="F1264" s="17" t="s">
        <v>735</v>
      </c>
      <c r="G1264" s="17" t="s">
        <v>135</v>
      </c>
      <c r="H1264" s="18">
        <v>0</v>
      </c>
      <c r="I1264" s="18">
        <v>18064.1300</v>
      </c>
      <c r="J1264" s="18">
        <f ca="1">((J1263 + H1264) - I1264)</f>
        <v>0</v>
      </c>
      <c r="K1264" s="18">
        <v>0</v>
      </c>
      <c r="L1264" s="19">
        <v>0</v>
      </c>
      <c r="M1264" s="17"/>
    </row>
    <row r="1265" ht="10.95" customHeight="true" customFormat="true" s="9">
      <c r="A1265" s="16">
        <v>45473</v>
      </c>
      <c r="B1265" s="17" t="s">
        <v>730</v>
      </c>
      <c r="C1265" s="17" t="s">
        <v>731</v>
      </c>
      <c r="D1265" s="17" t="s">
        <v>732</v>
      </c>
      <c r="E1265" s="17" t="s">
        <v>339</v>
      </c>
      <c r="F1265" s="17" t="s">
        <v>735</v>
      </c>
      <c r="G1265" s="17" t="s">
        <v>585</v>
      </c>
      <c r="H1265" s="18">
        <v>0</v>
      </c>
      <c r="I1265" s="18">
        <v>358143.9100</v>
      </c>
      <c r="J1265" s="18">
        <f ca="1">((J1264 + H1265) - I1265)</f>
        <v>0</v>
      </c>
      <c r="K1265" s="18">
        <v>0</v>
      </c>
      <c r="L1265" s="19">
        <v>0</v>
      </c>
      <c r="M1265" s="17"/>
    </row>
    <row r="1266" ht="10.95" customHeight="true" customFormat="true" s="9">
      <c r="A1266" s="16">
        <v>45474</v>
      </c>
      <c r="B1266" s="17" t="s">
        <v>730</v>
      </c>
      <c r="C1266" s="17" t="s">
        <v>731</v>
      </c>
      <c r="D1266" s="17" t="s">
        <v>732</v>
      </c>
      <c r="E1266" s="17" t="s">
        <v>339</v>
      </c>
      <c r="F1266" s="17" t="s">
        <v>733</v>
      </c>
      <c r="G1266" s="17" t="s">
        <v>38</v>
      </c>
      <c r="H1266" s="18">
        <v>0</v>
      </c>
      <c r="I1266" s="18">
        <v>1934.5900</v>
      </c>
      <c r="J1266" s="18">
        <f ca="1">((J1265 + H1266) - I1266)</f>
        <v>0</v>
      </c>
      <c r="K1266" s="18">
        <v>0</v>
      </c>
      <c r="L1266" s="19">
        <v>0</v>
      </c>
      <c r="M1266" s="17"/>
    </row>
    <row r="1267" ht="10.95" customHeight="true" customFormat="true" s="9">
      <c r="A1267" s="16">
        <v>45501</v>
      </c>
      <c r="B1267" s="17" t="s">
        <v>730</v>
      </c>
      <c r="C1267" s="17" t="s">
        <v>731</v>
      </c>
      <c r="D1267" s="17" t="s">
        <v>732</v>
      </c>
      <c r="E1267" s="17" t="s">
        <v>36</v>
      </c>
      <c r="F1267" s="17" t="s">
        <v>37</v>
      </c>
      <c r="G1267" s="17" t="s">
        <v>38</v>
      </c>
      <c r="H1267" s="18">
        <v>1934.5900</v>
      </c>
      <c r="I1267" s="18">
        <v>0</v>
      </c>
      <c r="J1267" s="18">
        <f ca="1">((J1266 + H1267) - I1267)</f>
        <v>0</v>
      </c>
      <c r="K1267" s="18">
        <v>0</v>
      </c>
      <c r="L1267" s="19">
        <v>0</v>
      </c>
      <c r="M1267" s="17"/>
    </row>
    <row r="1268" ht="10.95" customHeight="true" customFormat="true" s="9">
      <c r="A1268" s="16">
        <v>45502</v>
      </c>
      <c r="B1268" s="17" t="s">
        <v>730</v>
      </c>
      <c r="C1268" s="17" t="s">
        <v>731</v>
      </c>
      <c r="D1268" s="17" t="s">
        <v>732</v>
      </c>
      <c r="E1268" s="17" t="s">
        <v>36</v>
      </c>
      <c r="F1268" s="17" t="s">
        <v>43</v>
      </c>
      <c r="G1268" s="17" t="s">
        <v>50</v>
      </c>
      <c r="H1268" s="18">
        <v>2750.0000</v>
      </c>
      <c r="I1268" s="18">
        <v>0</v>
      </c>
      <c r="J1268" s="18">
        <f ca="1">((J1267 + H1268) - I1268)</f>
        <v>0</v>
      </c>
      <c r="K1268" s="18">
        <v>0</v>
      </c>
      <c r="L1268" s="19">
        <v>0</v>
      </c>
      <c r="M1268" s="17"/>
    </row>
    <row r="1269" ht="10.95" customHeight="true" customFormat="true" s="9">
      <c r="A1269" s="16">
        <v>45504</v>
      </c>
      <c r="B1269" s="17" t="s">
        <v>730</v>
      </c>
      <c r="C1269" s="17" t="s">
        <v>731</v>
      </c>
      <c r="D1269" s="17" t="s">
        <v>732</v>
      </c>
      <c r="E1269" s="17" t="s">
        <v>339</v>
      </c>
      <c r="F1269" s="17" t="s">
        <v>735</v>
      </c>
      <c r="G1269" s="17" t="s">
        <v>137</v>
      </c>
      <c r="H1269" s="18">
        <v>0</v>
      </c>
      <c r="I1269" s="18">
        <v>8262.9300</v>
      </c>
      <c r="J1269" s="18">
        <f ca="1">((J1268 + H1269) - I1269)</f>
        <v>0</v>
      </c>
      <c r="K1269" s="18">
        <v>0</v>
      </c>
      <c r="L1269" s="19">
        <v>0</v>
      </c>
      <c r="M1269" s="17"/>
    </row>
    <row r="1270" ht="10.95" customHeight="true" customFormat="true" s="9">
      <c r="A1270" s="16">
        <v>45504</v>
      </c>
      <c r="B1270" s="17" t="s">
        <v>730</v>
      </c>
      <c r="C1270" s="17" t="s">
        <v>731</v>
      </c>
      <c r="D1270" s="17" t="s">
        <v>732</v>
      </c>
      <c r="E1270" s="17" t="s">
        <v>339</v>
      </c>
      <c r="F1270" s="17" t="s">
        <v>735</v>
      </c>
      <c r="G1270" s="17" t="s">
        <v>131</v>
      </c>
      <c r="H1270" s="18">
        <v>0</v>
      </c>
      <c r="I1270" s="18">
        <v>18391.0900</v>
      </c>
      <c r="J1270" s="18">
        <f ca="1">((J1269 + H1270) - I1270)</f>
        <v>0</v>
      </c>
      <c r="K1270" s="18">
        <v>0</v>
      </c>
      <c r="L1270" s="19">
        <v>0</v>
      </c>
      <c r="M1270" s="17"/>
    </row>
    <row r="1271" ht="10.95" customHeight="true" customFormat="true" s="9">
      <c r="A1271" s="16">
        <v>45504</v>
      </c>
      <c r="B1271" s="17" t="s">
        <v>730</v>
      </c>
      <c r="C1271" s="17" t="s">
        <v>731</v>
      </c>
      <c r="D1271" s="17" t="s">
        <v>732</v>
      </c>
      <c r="E1271" s="17" t="s">
        <v>339</v>
      </c>
      <c r="F1271" s="17" t="s">
        <v>735</v>
      </c>
      <c r="G1271" s="17" t="s">
        <v>136</v>
      </c>
      <c r="H1271" s="18">
        <v>0</v>
      </c>
      <c r="I1271" s="18">
        <v>122824.6900</v>
      </c>
      <c r="J1271" s="18">
        <f ca="1">((J1270 + H1271) - I1271)</f>
        <v>0</v>
      </c>
      <c r="K1271" s="18">
        <v>0</v>
      </c>
      <c r="L1271" s="19">
        <v>0</v>
      </c>
      <c r="M1271" s="17"/>
    </row>
    <row r="1272" ht="10.95" customHeight="true" customFormat="true" s="9">
      <c r="A1272" s="16">
        <v>45504</v>
      </c>
      <c r="B1272" s="17" t="s">
        <v>730</v>
      </c>
      <c r="C1272" s="17" t="s">
        <v>731</v>
      </c>
      <c r="D1272" s="17" t="s">
        <v>732</v>
      </c>
      <c r="E1272" s="17" t="s">
        <v>339</v>
      </c>
      <c r="F1272" s="17" t="s">
        <v>734</v>
      </c>
      <c r="G1272" s="17" t="s">
        <v>51</v>
      </c>
      <c r="H1272" s="18">
        <v>0</v>
      </c>
      <c r="I1272" s="18">
        <v>2750.0000</v>
      </c>
      <c r="J1272" s="18">
        <f ca="1">((J1271 + H1272) - I1272)</f>
        <v>0</v>
      </c>
      <c r="K1272" s="18">
        <v>0</v>
      </c>
      <c r="L1272" s="19">
        <v>0</v>
      </c>
      <c r="M1272" s="17"/>
    </row>
    <row r="1273" ht="10.95" customHeight="true" customFormat="true" s="9">
      <c r="A1273" s="16">
        <v>45505</v>
      </c>
      <c r="B1273" s="17" t="s">
        <v>730</v>
      </c>
      <c r="C1273" s="17" t="s">
        <v>731</v>
      </c>
      <c r="D1273" s="17" t="s">
        <v>732</v>
      </c>
      <c r="E1273" s="17" t="s">
        <v>339</v>
      </c>
      <c r="F1273" s="17" t="s">
        <v>733</v>
      </c>
      <c r="G1273" s="17" t="s">
        <v>38</v>
      </c>
      <c r="H1273" s="18">
        <v>0</v>
      </c>
      <c r="I1273" s="18">
        <v>1934.5900</v>
      </c>
      <c r="J1273" s="18">
        <f ca="1">((J1272 + H1273) - I1273)</f>
        <v>0</v>
      </c>
      <c r="K1273" s="18">
        <v>0</v>
      </c>
      <c r="L1273" s="19">
        <v>0</v>
      </c>
      <c r="M1273" s="17"/>
    </row>
    <row r="1274" ht="10.95" customHeight="true" customFormat="true" s="9">
      <c r="A1274" s="16">
        <v>45520</v>
      </c>
      <c r="B1274" s="17" t="s">
        <v>730</v>
      </c>
      <c r="C1274" s="17" t="s">
        <v>731</v>
      </c>
      <c r="D1274" s="17" t="s">
        <v>732</v>
      </c>
      <c r="E1274" s="17" t="s">
        <v>36</v>
      </c>
      <c r="F1274" s="17" t="s">
        <v>43</v>
      </c>
      <c r="G1274" s="17" t="s">
        <v>51</v>
      </c>
      <c r="H1274" s="18">
        <v>2750.0000</v>
      </c>
      <c r="I1274" s="18">
        <v>0</v>
      </c>
      <c r="J1274" s="18">
        <f ca="1">((J1273 + H1274) - I1274)</f>
        <v>0</v>
      </c>
      <c r="K1274" s="18">
        <v>0</v>
      </c>
      <c r="L1274" s="19">
        <v>0</v>
      </c>
      <c r="M1274" s="17"/>
    </row>
    <row r="1275" ht="10.95" customHeight="true" customFormat="true" s="9">
      <c r="A1275" s="16">
        <v>45530</v>
      </c>
      <c r="B1275" s="17" t="s">
        <v>730</v>
      </c>
      <c r="C1275" s="17" t="s">
        <v>731</v>
      </c>
      <c r="D1275" s="17" t="s">
        <v>732</v>
      </c>
      <c r="E1275" s="17" t="s">
        <v>36</v>
      </c>
      <c r="F1275" s="17" t="s">
        <v>37</v>
      </c>
      <c r="G1275" s="17" t="s">
        <v>38</v>
      </c>
      <c r="H1275" s="18">
        <v>1934.5900</v>
      </c>
      <c r="I1275" s="18">
        <v>0</v>
      </c>
      <c r="J1275" s="18">
        <f ca="1">((J1274 + H1275) - I1275)</f>
        <v>0</v>
      </c>
      <c r="K1275" s="18">
        <v>0</v>
      </c>
      <c r="L1275" s="19">
        <v>0</v>
      </c>
      <c r="M1275" s="17"/>
    </row>
    <row r="1276" ht="10.95" customHeight="true" customFormat="true" s="9">
      <c r="A1276" s="16">
        <v>45535</v>
      </c>
      <c r="B1276" s="17" t="s">
        <v>730</v>
      </c>
      <c r="C1276" s="17" t="s">
        <v>731</v>
      </c>
      <c r="D1276" s="17" t="s">
        <v>732</v>
      </c>
      <c r="E1276" s="17" t="s">
        <v>339</v>
      </c>
      <c r="F1276" s="17" t="s">
        <v>735</v>
      </c>
      <c r="G1276" s="17" t="s">
        <v>441</v>
      </c>
      <c r="H1276" s="18">
        <v>0</v>
      </c>
      <c r="I1276" s="18">
        <v>17738.6500</v>
      </c>
      <c r="J1276" s="18">
        <f ca="1">((J1275 + H1276) - I1276)</f>
        <v>0</v>
      </c>
      <c r="K1276" s="18">
        <v>0</v>
      </c>
      <c r="L1276" s="19">
        <v>0</v>
      </c>
      <c r="M1276" s="17"/>
    </row>
    <row r="1277" ht="10.95" customHeight="true" customFormat="true" s="9">
      <c r="A1277" s="16">
        <v>45535</v>
      </c>
      <c r="B1277" s="17" t="s">
        <v>730</v>
      </c>
      <c r="C1277" s="17" t="s">
        <v>731</v>
      </c>
      <c r="D1277" s="17" t="s">
        <v>732</v>
      </c>
      <c r="E1277" s="17" t="s">
        <v>339</v>
      </c>
      <c r="F1277" s="17" t="s">
        <v>735</v>
      </c>
      <c r="G1277" s="17" t="s">
        <v>138</v>
      </c>
      <c r="H1277" s="18">
        <v>0</v>
      </c>
      <c r="I1277" s="18">
        <v>109784.8400</v>
      </c>
      <c r="J1277" s="18">
        <f ca="1">((J1276 + H1277) - I1277)</f>
        <v>0</v>
      </c>
      <c r="K1277" s="18">
        <v>0</v>
      </c>
      <c r="L1277" s="19">
        <v>0</v>
      </c>
      <c r="M1277" s="17"/>
    </row>
    <row r="1278" ht="10.95" customHeight="true" customFormat="true" s="9">
      <c r="A1278" s="16">
        <v>45535</v>
      </c>
      <c r="B1278" s="17" t="s">
        <v>730</v>
      </c>
      <c r="C1278" s="17" t="s">
        <v>731</v>
      </c>
      <c r="D1278" s="17" t="s">
        <v>732</v>
      </c>
      <c r="E1278" s="17" t="s">
        <v>339</v>
      </c>
      <c r="F1278" s="17" t="s">
        <v>735</v>
      </c>
      <c r="G1278" s="17" t="s">
        <v>691</v>
      </c>
      <c r="H1278" s="18">
        <v>0</v>
      </c>
      <c r="I1278" s="18">
        <v>1807.8600</v>
      </c>
      <c r="J1278" s="18">
        <f ca="1">((J1277 + H1278) - I1278)</f>
        <v>0</v>
      </c>
      <c r="K1278" s="18">
        <v>0</v>
      </c>
      <c r="L1278" s="19">
        <v>0</v>
      </c>
      <c r="M1278" s="17"/>
    </row>
    <row r="1279" ht="10.95" customHeight="true" customFormat="true" s="9">
      <c r="A1279" s="16">
        <v>45535</v>
      </c>
      <c r="B1279" s="17" t="s">
        <v>730</v>
      </c>
      <c r="C1279" s="17" t="s">
        <v>731</v>
      </c>
      <c r="D1279" s="17" t="s">
        <v>732</v>
      </c>
      <c r="E1279" s="17" t="s">
        <v>339</v>
      </c>
      <c r="F1279" s="17" t="s">
        <v>735</v>
      </c>
      <c r="G1279" s="17" t="s">
        <v>698</v>
      </c>
      <c r="H1279" s="18">
        <v>0</v>
      </c>
      <c r="I1279" s="18">
        <v>269.0400</v>
      </c>
      <c r="J1279" s="18">
        <f ca="1">((J1278 + H1279) - I1279)</f>
        <v>0</v>
      </c>
      <c r="K1279" s="18">
        <v>0</v>
      </c>
      <c r="L1279" s="19">
        <v>0</v>
      </c>
      <c r="M1279" s="17"/>
    </row>
    <row r="1280" ht="10.95" customHeight="true" customFormat="true" s="9">
      <c r="A1280" s="16">
        <v>45535</v>
      </c>
      <c r="B1280" s="17" t="s">
        <v>730</v>
      </c>
      <c r="C1280" s="17" t="s">
        <v>731</v>
      </c>
      <c r="D1280" s="17" t="s">
        <v>732</v>
      </c>
      <c r="E1280" s="17" t="s">
        <v>339</v>
      </c>
      <c r="F1280" s="17" t="s">
        <v>735</v>
      </c>
      <c r="G1280" s="17" t="s">
        <v>139</v>
      </c>
      <c r="H1280" s="18">
        <v>0</v>
      </c>
      <c r="I1280" s="18">
        <v>12886.2400</v>
      </c>
      <c r="J1280" s="18">
        <f ca="1">((J1279 + H1280) - I1280)</f>
        <v>0</v>
      </c>
      <c r="K1280" s="18">
        <v>0</v>
      </c>
      <c r="L1280" s="19">
        <v>0</v>
      </c>
      <c r="M1280" s="17"/>
    </row>
    <row r="1281" ht="10.95" customHeight="true" customFormat="true" s="9">
      <c r="A1281" s="16">
        <v>45535</v>
      </c>
      <c r="B1281" s="17" t="s">
        <v>730</v>
      </c>
      <c r="C1281" s="17" t="s">
        <v>731</v>
      </c>
      <c r="D1281" s="17" t="s">
        <v>732</v>
      </c>
      <c r="E1281" s="17" t="s">
        <v>339</v>
      </c>
      <c r="F1281" s="17" t="s">
        <v>734</v>
      </c>
      <c r="G1281" s="17" t="s">
        <v>54</v>
      </c>
      <c r="H1281" s="18">
        <v>0</v>
      </c>
      <c r="I1281" s="18">
        <v>2750.0000</v>
      </c>
      <c r="J1281" s="18">
        <f ca="1">((J1280 + H1281) - I1281)</f>
        <v>0</v>
      </c>
      <c r="K1281" s="18">
        <v>0</v>
      </c>
      <c r="L1281" s="19">
        <v>0</v>
      </c>
      <c r="M1281" s="17"/>
    </row>
    <row r="1282" ht="10.95" customHeight="true" customFormat="true" s="9">
      <c r="A1282" s="16">
        <v>45536</v>
      </c>
      <c r="B1282" s="17" t="s">
        <v>730</v>
      </c>
      <c r="C1282" s="17" t="s">
        <v>731</v>
      </c>
      <c r="D1282" s="17" t="s">
        <v>732</v>
      </c>
      <c r="E1282" s="17" t="s">
        <v>339</v>
      </c>
      <c r="F1282" s="17" t="s">
        <v>733</v>
      </c>
      <c r="G1282" s="17" t="s">
        <v>38</v>
      </c>
      <c r="H1282" s="18">
        <v>0</v>
      </c>
      <c r="I1282" s="18">
        <v>1934.5900</v>
      </c>
      <c r="J1282" s="18">
        <f ca="1">((J1281 + H1282) - I1282)</f>
        <v>0</v>
      </c>
      <c r="K1282" s="18">
        <v>0</v>
      </c>
      <c r="L1282" s="19">
        <v>0</v>
      </c>
      <c r="M1282" s="17"/>
    </row>
    <row r="1283" ht="10.95" customHeight="true" customFormat="true" s="9">
      <c r="A1283" s="16">
        <v>45546</v>
      </c>
      <c r="B1283" s="17" t="s">
        <v>730</v>
      </c>
      <c r="C1283" s="17" t="s">
        <v>731</v>
      </c>
      <c r="D1283" s="17" t="s">
        <v>732</v>
      </c>
      <c r="E1283" s="17" t="s">
        <v>36</v>
      </c>
      <c r="F1283" s="17" t="s">
        <v>43</v>
      </c>
      <c r="G1283" s="17" t="s">
        <v>54</v>
      </c>
      <c r="H1283" s="18">
        <v>2750.0000</v>
      </c>
      <c r="I1283" s="18">
        <v>0</v>
      </c>
      <c r="J1283" s="18">
        <f ca="1">((J1282 + H1283) - I1283)</f>
        <v>0</v>
      </c>
      <c r="K1283" s="18">
        <v>0</v>
      </c>
      <c r="L1283" s="19">
        <v>0</v>
      </c>
      <c r="M1283" s="17"/>
    </row>
    <row r="1284" ht="10.95" customHeight="true" customFormat="true" s="9">
      <c r="A1284" s="16">
        <v>45546</v>
      </c>
      <c r="B1284" s="17" t="s">
        <v>730</v>
      </c>
      <c r="C1284" s="17" t="s">
        <v>731</v>
      </c>
      <c r="D1284" s="17" t="s">
        <v>732</v>
      </c>
      <c r="E1284" s="17" t="s">
        <v>36</v>
      </c>
      <c r="F1284" s="17" t="s">
        <v>76</v>
      </c>
      <c r="G1284" s="17" t="s">
        <v>101</v>
      </c>
      <c r="H1284" s="18">
        <v>238680.3800</v>
      </c>
      <c r="I1284" s="18">
        <v>0</v>
      </c>
      <c r="J1284" s="18">
        <f ca="1">((J1283 + H1284) - I1284)</f>
        <v>0</v>
      </c>
      <c r="K1284" s="18">
        <v>0</v>
      </c>
      <c r="L1284" s="19">
        <v>0</v>
      </c>
      <c r="M1284" s="17"/>
    </row>
    <row r="1285" ht="10.95" customHeight="true" customFormat="true" s="9">
      <c r="A1285" s="16">
        <v>45546</v>
      </c>
      <c r="B1285" s="17" t="s">
        <v>730</v>
      </c>
      <c r="C1285" s="17" t="s">
        <v>731</v>
      </c>
      <c r="D1285" s="17" t="s">
        <v>732</v>
      </c>
      <c r="E1285" s="17" t="s">
        <v>36</v>
      </c>
      <c r="F1285" s="17" t="s">
        <v>76</v>
      </c>
      <c r="G1285" s="17" t="s">
        <v>95</v>
      </c>
      <c r="H1285" s="18">
        <v>180233.6900</v>
      </c>
      <c r="I1285" s="18">
        <v>0</v>
      </c>
      <c r="J1285" s="18">
        <f ca="1">((J1284 + H1285) - I1285)</f>
        <v>0</v>
      </c>
      <c r="K1285" s="18">
        <v>0</v>
      </c>
      <c r="L1285" s="19">
        <v>0</v>
      </c>
      <c r="M1285" s="17"/>
    </row>
    <row r="1286" ht="10.95" customHeight="true" customFormat="true" s="9">
      <c r="A1286" s="16">
        <v>45546</v>
      </c>
      <c r="B1286" s="17" t="s">
        <v>730</v>
      </c>
      <c r="C1286" s="17" t="s">
        <v>731</v>
      </c>
      <c r="D1286" s="17" t="s">
        <v>732</v>
      </c>
      <c r="E1286" s="17" t="s">
        <v>36</v>
      </c>
      <c r="F1286" s="17" t="s">
        <v>76</v>
      </c>
      <c r="G1286" s="17" t="s">
        <v>102</v>
      </c>
      <c r="H1286" s="18">
        <v>146733.0900</v>
      </c>
      <c r="I1286" s="18">
        <v>0</v>
      </c>
      <c r="J1286" s="18">
        <f ca="1">((J1285 + H1286) - I1286)</f>
        <v>0</v>
      </c>
      <c r="K1286" s="18">
        <v>0</v>
      </c>
      <c r="L1286" s="19">
        <v>0</v>
      </c>
      <c r="M1286" s="17"/>
    </row>
    <row r="1287" ht="10.95" customHeight="true" customFormat="true" s="9">
      <c r="A1287" s="16">
        <v>45546</v>
      </c>
      <c r="B1287" s="17" t="s">
        <v>730</v>
      </c>
      <c r="C1287" s="17" t="s">
        <v>731</v>
      </c>
      <c r="D1287" s="17" t="s">
        <v>732</v>
      </c>
      <c r="E1287" s="17" t="s">
        <v>36</v>
      </c>
      <c r="F1287" s="17" t="s">
        <v>76</v>
      </c>
      <c r="G1287" s="17" t="s">
        <v>96</v>
      </c>
      <c r="H1287" s="18">
        <v>146825.0000</v>
      </c>
      <c r="I1287" s="18">
        <v>0</v>
      </c>
      <c r="J1287" s="18">
        <f ca="1">((J1286 + H1287) - I1287)</f>
        <v>0</v>
      </c>
      <c r="K1287" s="18">
        <v>0</v>
      </c>
      <c r="L1287" s="19">
        <v>0</v>
      </c>
      <c r="M1287" s="17"/>
    </row>
    <row r="1288" ht="10.95" customHeight="true" customFormat="true" s="9">
      <c r="A1288" s="16">
        <v>45546</v>
      </c>
      <c r="B1288" s="17" t="s">
        <v>730</v>
      </c>
      <c r="C1288" s="17" t="s">
        <v>731</v>
      </c>
      <c r="D1288" s="17" t="s">
        <v>732</v>
      </c>
      <c r="E1288" s="17" t="s">
        <v>36</v>
      </c>
      <c r="F1288" s="17" t="s">
        <v>76</v>
      </c>
      <c r="G1288" s="17" t="s">
        <v>103</v>
      </c>
      <c r="H1288" s="18">
        <v>155874.4700</v>
      </c>
      <c r="I1288" s="18">
        <v>0</v>
      </c>
      <c r="J1288" s="18">
        <f ca="1">((J1287 + H1288) - I1288)</f>
        <v>0</v>
      </c>
      <c r="K1288" s="18">
        <v>0</v>
      </c>
      <c r="L1288" s="19">
        <v>0</v>
      </c>
      <c r="M1288" s="17"/>
    </row>
    <row r="1289" ht="10.95" customHeight="true" customFormat="true" s="9">
      <c r="A1289" s="16">
        <v>45546</v>
      </c>
      <c r="B1289" s="17" t="s">
        <v>730</v>
      </c>
      <c r="C1289" s="17" t="s">
        <v>731</v>
      </c>
      <c r="D1289" s="17" t="s">
        <v>732</v>
      </c>
      <c r="E1289" s="17" t="s">
        <v>36</v>
      </c>
      <c r="F1289" s="17" t="s">
        <v>76</v>
      </c>
      <c r="G1289" s="17" t="s">
        <v>97</v>
      </c>
      <c r="H1289" s="18">
        <v>4572.4800</v>
      </c>
      <c r="I1289" s="18">
        <v>0</v>
      </c>
      <c r="J1289" s="18">
        <f ca="1">((J1288 + H1289) - I1289)</f>
        <v>0</v>
      </c>
      <c r="K1289" s="18">
        <v>0</v>
      </c>
      <c r="L1289" s="19">
        <v>0</v>
      </c>
      <c r="M1289" s="17"/>
    </row>
    <row r="1290" ht="10.95" customHeight="true" customFormat="true" s="9">
      <c r="A1290" s="16">
        <v>45546</v>
      </c>
      <c r="B1290" s="17" t="s">
        <v>730</v>
      </c>
      <c r="C1290" s="17" t="s">
        <v>731</v>
      </c>
      <c r="D1290" s="17" t="s">
        <v>732</v>
      </c>
      <c r="E1290" s="17" t="s">
        <v>36</v>
      </c>
      <c r="F1290" s="17" t="s">
        <v>76</v>
      </c>
      <c r="G1290" s="17" t="s">
        <v>104</v>
      </c>
      <c r="H1290" s="18">
        <v>300684.3600</v>
      </c>
      <c r="I1290" s="18">
        <v>0</v>
      </c>
      <c r="J1290" s="18">
        <f ca="1">((J1289 + H1290) - I1290)</f>
        <v>0</v>
      </c>
      <c r="K1290" s="18">
        <v>0</v>
      </c>
      <c r="L1290" s="19">
        <v>0</v>
      </c>
      <c r="M1290" s="17"/>
    </row>
    <row r="1291" ht="10.95" customHeight="true" customFormat="true" s="9">
      <c r="A1291" s="16">
        <v>45546</v>
      </c>
      <c r="B1291" s="17" t="s">
        <v>730</v>
      </c>
      <c r="C1291" s="17" t="s">
        <v>731</v>
      </c>
      <c r="D1291" s="17" t="s">
        <v>732</v>
      </c>
      <c r="E1291" s="17" t="s">
        <v>36</v>
      </c>
      <c r="F1291" s="17" t="s">
        <v>76</v>
      </c>
      <c r="G1291" s="17" t="s">
        <v>98</v>
      </c>
      <c r="H1291" s="18">
        <v>3101.9400</v>
      </c>
      <c r="I1291" s="18">
        <v>0</v>
      </c>
      <c r="J1291" s="18">
        <f ca="1">((J1290 + H1291) - I1291)</f>
        <v>0</v>
      </c>
      <c r="K1291" s="18">
        <v>0</v>
      </c>
      <c r="L1291" s="19">
        <v>0</v>
      </c>
      <c r="M1291" s="17"/>
    </row>
    <row r="1292" ht="10.95" customHeight="true" customFormat="true" s="9">
      <c r="A1292" s="16">
        <v>45546</v>
      </c>
      <c r="B1292" s="17" t="s">
        <v>730</v>
      </c>
      <c r="C1292" s="17" t="s">
        <v>731</v>
      </c>
      <c r="D1292" s="17" t="s">
        <v>732</v>
      </c>
      <c r="E1292" s="17" t="s">
        <v>36</v>
      </c>
      <c r="F1292" s="17" t="s">
        <v>76</v>
      </c>
      <c r="G1292" s="17" t="s">
        <v>99</v>
      </c>
      <c r="H1292" s="18">
        <v>18464.2900</v>
      </c>
      <c r="I1292" s="18">
        <v>0</v>
      </c>
      <c r="J1292" s="18">
        <f ca="1">((J1291 + H1292) - I1292)</f>
        <v>0</v>
      </c>
      <c r="K1292" s="18">
        <v>0</v>
      </c>
      <c r="L1292" s="19">
        <v>0</v>
      </c>
      <c r="M1292" s="17"/>
    </row>
    <row r="1293" ht="10.95" customHeight="true" customFormat="true" s="9">
      <c r="A1293" s="16">
        <v>45546</v>
      </c>
      <c r="B1293" s="17" t="s">
        <v>730</v>
      </c>
      <c r="C1293" s="17" t="s">
        <v>731</v>
      </c>
      <c r="D1293" s="17" t="s">
        <v>732</v>
      </c>
      <c r="E1293" s="17" t="s">
        <v>36</v>
      </c>
      <c r="F1293" s="17" t="s">
        <v>76</v>
      </c>
      <c r="G1293" s="17" t="s">
        <v>105</v>
      </c>
      <c r="H1293" s="18">
        <v>68853.4500</v>
      </c>
      <c r="I1293" s="18">
        <v>0</v>
      </c>
      <c r="J1293" s="18">
        <f ca="1">((J1292 + H1293) - I1293)</f>
        <v>0</v>
      </c>
      <c r="K1293" s="18">
        <v>0</v>
      </c>
      <c r="L1293" s="19">
        <v>0</v>
      </c>
      <c r="M1293" s="17"/>
    </row>
    <row r="1294" ht="10.95" customHeight="true" customFormat="true" s="9">
      <c r="A1294" s="16">
        <v>45546</v>
      </c>
      <c r="B1294" s="17" t="s">
        <v>730</v>
      </c>
      <c r="C1294" s="17" t="s">
        <v>731</v>
      </c>
      <c r="D1294" s="17" t="s">
        <v>732</v>
      </c>
      <c r="E1294" s="17" t="s">
        <v>36</v>
      </c>
      <c r="F1294" s="17" t="s">
        <v>76</v>
      </c>
      <c r="G1294" s="17" t="s">
        <v>100</v>
      </c>
      <c r="H1294" s="18">
        <v>118180.4500</v>
      </c>
      <c r="I1294" s="18">
        <v>0</v>
      </c>
      <c r="J1294" s="18">
        <f ca="1">((J1293 + H1294) - I1294)</f>
        <v>0</v>
      </c>
      <c r="K1294" s="18">
        <v>0</v>
      </c>
      <c r="L1294" s="19">
        <v>0</v>
      </c>
      <c r="M1294" s="17"/>
    </row>
    <row r="1295" ht="10.95" customHeight="true" customFormat="true" s="9">
      <c r="A1295" s="16">
        <v>45561</v>
      </c>
      <c r="B1295" s="17" t="s">
        <v>730</v>
      </c>
      <c r="C1295" s="17" t="s">
        <v>731</v>
      </c>
      <c r="D1295" s="17" t="s">
        <v>732</v>
      </c>
      <c r="E1295" s="17" t="s">
        <v>36</v>
      </c>
      <c r="F1295" s="17" t="s">
        <v>37</v>
      </c>
      <c r="G1295" s="17" t="s">
        <v>38</v>
      </c>
      <c r="H1295" s="18">
        <v>1934.5900</v>
      </c>
      <c r="I1295" s="18">
        <v>0</v>
      </c>
      <c r="J1295" s="18">
        <f ca="1">((J1294 + H1295) - I1295)</f>
        <v>0</v>
      </c>
      <c r="K1295" s="18">
        <v>0</v>
      </c>
      <c r="L1295" s="19">
        <v>0</v>
      </c>
      <c r="M1295" s="17"/>
    </row>
    <row r="1296" ht="10.95" customHeight="true" customFormat="true" s="9">
      <c r="A1296" s="16">
        <v>45561</v>
      </c>
      <c r="B1296" s="17" t="s">
        <v>730</v>
      </c>
      <c r="C1296" s="17" t="s">
        <v>731</v>
      </c>
      <c r="D1296" s="17" t="s">
        <v>732</v>
      </c>
      <c r="E1296" s="17" t="s">
        <v>36</v>
      </c>
      <c r="F1296" s="17" t="s">
        <v>76</v>
      </c>
      <c r="G1296" s="17" t="s">
        <v>108</v>
      </c>
      <c r="H1296" s="18">
        <v>137804.6300</v>
      </c>
      <c r="I1296" s="18">
        <v>0</v>
      </c>
      <c r="J1296" s="18">
        <f ca="1">((J1295 + H1296) - I1296)</f>
        <v>0</v>
      </c>
      <c r="K1296" s="18">
        <v>0</v>
      </c>
      <c r="L1296" s="19">
        <v>0</v>
      </c>
      <c r="M1296" s="17"/>
    </row>
    <row r="1297" ht="10.95" customHeight="true" customFormat="true" s="9">
      <c r="A1297" s="16">
        <v>45561</v>
      </c>
      <c r="B1297" s="17" t="s">
        <v>730</v>
      </c>
      <c r="C1297" s="17" t="s">
        <v>731</v>
      </c>
      <c r="D1297" s="17" t="s">
        <v>732</v>
      </c>
      <c r="E1297" s="17" t="s">
        <v>36</v>
      </c>
      <c r="F1297" s="17" t="s">
        <v>76</v>
      </c>
      <c r="G1297" s="17" t="s">
        <v>109</v>
      </c>
      <c r="H1297" s="18">
        <v>237595.4100</v>
      </c>
      <c r="I1297" s="18">
        <v>0</v>
      </c>
      <c r="J1297" s="18">
        <f ca="1">((J1296 + H1297) - I1297)</f>
        <v>0</v>
      </c>
      <c r="K1297" s="18">
        <v>0</v>
      </c>
      <c r="L1297" s="19">
        <v>0</v>
      </c>
      <c r="M1297" s="17"/>
    </row>
    <row r="1298" ht="10.95" customHeight="true" customFormat="true" s="9">
      <c r="A1298" s="16">
        <v>45561</v>
      </c>
      <c r="B1298" s="17" t="s">
        <v>730</v>
      </c>
      <c r="C1298" s="17" t="s">
        <v>731</v>
      </c>
      <c r="D1298" s="17" t="s">
        <v>732</v>
      </c>
      <c r="E1298" s="17" t="s">
        <v>36</v>
      </c>
      <c r="F1298" s="17" t="s">
        <v>76</v>
      </c>
      <c r="G1298" s="17" t="s">
        <v>110</v>
      </c>
      <c r="H1298" s="18">
        <v>533299.0500</v>
      </c>
      <c r="I1298" s="18">
        <v>0</v>
      </c>
      <c r="J1298" s="18">
        <f ca="1">((J1297 + H1298) - I1298)</f>
        <v>0</v>
      </c>
      <c r="K1298" s="18">
        <v>0</v>
      </c>
      <c r="L1298" s="19">
        <v>0</v>
      </c>
      <c r="M1298" s="17"/>
    </row>
    <row r="1299" ht="10.95" customHeight="true" customFormat="true" s="9">
      <c r="A1299" s="16">
        <v>45561</v>
      </c>
      <c r="B1299" s="17" t="s">
        <v>730</v>
      </c>
      <c r="C1299" s="17" t="s">
        <v>731</v>
      </c>
      <c r="D1299" s="17" t="s">
        <v>732</v>
      </c>
      <c r="E1299" s="17" t="s">
        <v>36</v>
      </c>
      <c r="F1299" s="17" t="s">
        <v>76</v>
      </c>
      <c r="G1299" s="17" t="s">
        <v>111</v>
      </c>
      <c r="H1299" s="18">
        <v>15007.2900</v>
      </c>
      <c r="I1299" s="18">
        <v>0</v>
      </c>
      <c r="J1299" s="18">
        <f ca="1">((J1298 + H1299) - I1299)</f>
        <v>0</v>
      </c>
      <c r="K1299" s="18">
        <v>0</v>
      </c>
      <c r="L1299" s="19">
        <v>0</v>
      </c>
      <c r="M1299" s="17"/>
    </row>
    <row r="1300" ht="10.95" customHeight="true" customFormat="true" s="9">
      <c r="A1300" s="16">
        <v>45561</v>
      </c>
      <c r="B1300" s="17" t="s">
        <v>730</v>
      </c>
      <c r="C1300" s="17" t="s">
        <v>731</v>
      </c>
      <c r="D1300" s="17" t="s">
        <v>732</v>
      </c>
      <c r="E1300" s="17" t="s">
        <v>36</v>
      </c>
      <c r="F1300" s="17" t="s">
        <v>76</v>
      </c>
      <c r="G1300" s="17" t="s">
        <v>112</v>
      </c>
      <c r="H1300" s="18">
        <v>108589.3700</v>
      </c>
      <c r="I1300" s="18">
        <v>0</v>
      </c>
      <c r="J1300" s="18">
        <f ca="1">((J1299 + H1300) - I1300)</f>
        <v>0</v>
      </c>
      <c r="K1300" s="18">
        <v>0</v>
      </c>
      <c r="L1300" s="19">
        <v>0</v>
      </c>
      <c r="M1300" s="17"/>
    </row>
    <row r="1301" ht="10.95" customHeight="true" customFormat="true" s="9">
      <c r="A1301" s="16">
        <v>45565</v>
      </c>
      <c r="B1301" s="17" t="s">
        <v>730</v>
      </c>
      <c r="C1301" s="17" t="s">
        <v>731</v>
      </c>
      <c r="D1301" s="17" t="s">
        <v>732</v>
      </c>
      <c r="E1301" s="17" t="s">
        <v>339</v>
      </c>
      <c r="F1301" s="17" t="s">
        <v>735</v>
      </c>
      <c r="G1301" s="17" t="s">
        <v>602</v>
      </c>
      <c r="H1301" s="18">
        <v>0</v>
      </c>
      <c r="I1301" s="18">
        <v>280063.1200</v>
      </c>
      <c r="J1301" s="18">
        <f ca="1">((J1300 + H1301) - I1301)</f>
        <v>0</v>
      </c>
      <c r="K1301" s="18">
        <v>0</v>
      </c>
      <c r="L1301" s="19">
        <v>0</v>
      </c>
      <c r="M1301" s="17"/>
    </row>
    <row r="1302" ht="10.95" customHeight="true" customFormat="true" s="9">
      <c r="A1302" s="16">
        <v>45565</v>
      </c>
      <c r="B1302" s="17" t="s">
        <v>730</v>
      </c>
      <c r="C1302" s="17" t="s">
        <v>731</v>
      </c>
      <c r="D1302" s="17" t="s">
        <v>732</v>
      </c>
      <c r="E1302" s="17" t="s">
        <v>339</v>
      </c>
      <c r="F1302" s="17" t="s">
        <v>735</v>
      </c>
      <c r="G1302" s="17" t="s">
        <v>676</v>
      </c>
      <c r="H1302" s="18">
        <v>0</v>
      </c>
      <c r="I1302" s="18">
        <v>3086.5900</v>
      </c>
      <c r="J1302" s="18">
        <f ca="1">((J1301 + H1302) - I1302)</f>
        <v>0</v>
      </c>
      <c r="K1302" s="18">
        <v>0</v>
      </c>
      <c r="L1302" s="19">
        <v>0</v>
      </c>
      <c r="M1302" s="17"/>
    </row>
    <row r="1303" ht="10.95" customHeight="true" customFormat="true" s="9">
      <c r="A1303" s="16">
        <v>45565</v>
      </c>
      <c r="B1303" s="17" t="s">
        <v>730</v>
      </c>
      <c r="C1303" s="17" t="s">
        <v>731</v>
      </c>
      <c r="D1303" s="17" t="s">
        <v>732</v>
      </c>
      <c r="E1303" s="17" t="s">
        <v>339</v>
      </c>
      <c r="F1303" s="17" t="s">
        <v>735</v>
      </c>
      <c r="G1303" s="17" t="s">
        <v>621</v>
      </c>
      <c r="H1303" s="18">
        <v>0</v>
      </c>
      <c r="I1303" s="18">
        <v>40960.0700</v>
      </c>
      <c r="J1303" s="18">
        <f ca="1">((J1302 + H1303) - I1303)</f>
        <v>0</v>
      </c>
      <c r="K1303" s="18">
        <v>0</v>
      </c>
      <c r="L1303" s="19">
        <v>0</v>
      </c>
      <c r="M1303" s="17"/>
    </row>
    <row r="1304" ht="10.95" customHeight="true" customFormat="true" s="9">
      <c r="A1304" s="16">
        <v>45565</v>
      </c>
      <c r="B1304" s="17" t="s">
        <v>730</v>
      </c>
      <c r="C1304" s="17" t="s">
        <v>731</v>
      </c>
      <c r="D1304" s="17" t="s">
        <v>732</v>
      </c>
      <c r="E1304" s="17" t="s">
        <v>339</v>
      </c>
      <c r="F1304" s="17" t="s">
        <v>734</v>
      </c>
      <c r="G1304" s="17" t="s">
        <v>58</v>
      </c>
      <c r="H1304" s="18">
        <v>0</v>
      </c>
      <c r="I1304" s="18">
        <v>2750.0000</v>
      </c>
      <c r="J1304" s="18">
        <f ca="1">((J1303 + H1304) - I1304)</f>
        <v>0</v>
      </c>
      <c r="K1304" s="18">
        <v>0</v>
      </c>
      <c r="L1304" s="19">
        <v>0</v>
      </c>
      <c r="M1304" s="17"/>
    </row>
    <row r="1305" ht="10.95" customHeight="true" customFormat="true" s="9">
      <c r="A1305" s="16">
        <v>45565</v>
      </c>
      <c r="B1305" s="17" t="s">
        <v>730</v>
      </c>
      <c r="C1305" s="17" t="s">
        <v>731</v>
      </c>
      <c r="D1305" s="17" t="s">
        <v>732</v>
      </c>
      <c r="E1305" s="17" t="s">
        <v>339</v>
      </c>
      <c r="F1305" s="17" t="s">
        <v>735</v>
      </c>
      <c r="G1305" s="17" t="s">
        <v>443</v>
      </c>
      <c r="H1305" s="18">
        <v>0</v>
      </c>
      <c r="I1305" s="18">
        <v>17319.9700</v>
      </c>
      <c r="J1305" s="18">
        <f ca="1">((J1304 + H1305) - I1305)</f>
        <v>0</v>
      </c>
      <c r="K1305" s="18">
        <v>0</v>
      </c>
      <c r="L1305" s="19">
        <v>0</v>
      </c>
      <c r="M1305" s="17"/>
    </row>
    <row r="1306" ht="10.95" customHeight="true" customFormat="true" s="9">
      <c r="A1306" s="16">
        <v>45566</v>
      </c>
      <c r="B1306" s="17" t="s">
        <v>730</v>
      </c>
      <c r="C1306" s="17" t="s">
        <v>731</v>
      </c>
      <c r="D1306" s="17" t="s">
        <v>732</v>
      </c>
      <c r="E1306" s="17" t="s">
        <v>339</v>
      </c>
      <c r="F1306" s="17" t="s">
        <v>733</v>
      </c>
      <c r="G1306" s="17" t="s">
        <v>38</v>
      </c>
      <c r="H1306" s="18">
        <v>0</v>
      </c>
      <c r="I1306" s="18">
        <v>1934.5900</v>
      </c>
      <c r="J1306" s="18">
        <f ca="1">((J1305 + H1306) - I1306)</f>
        <v>0</v>
      </c>
      <c r="K1306" s="18">
        <v>0</v>
      </c>
      <c r="L1306" s="19">
        <v>0</v>
      </c>
      <c r="M1306" s="17"/>
    </row>
    <row r="1307" ht="10.95" customHeight="true" customFormat="true" s="9">
      <c r="A1307" s="16">
        <v>45573</v>
      </c>
      <c r="B1307" s="17" t="s">
        <v>730</v>
      </c>
      <c r="C1307" s="17" t="s">
        <v>731</v>
      </c>
      <c r="D1307" s="17" t="s">
        <v>732</v>
      </c>
      <c r="E1307" s="17" t="s">
        <v>36</v>
      </c>
      <c r="F1307" s="17" t="s">
        <v>55</v>
      </c>
      <c r="G1307" s="17" t="s">
        <v>56</v>
      </c>
      <c r="H1307" s="18">
        <v>5963.3700</v>
      </c>
      <c r="I1307" s="18">
        <v>0</v>
      </c>
      <c r="J1307" s="18">
        <f ca="1">((J1306 + H1307) - I1307)</f>
        <v>0</v>
      </c>
      <c r="K1307" s="18">
        <v>0</v>
      </c>
      <c r="L1307" s="19">
        <v>0</v>
      </c>
      <c r="M1307" s="17"/>
    </row>
    <row r="1308" ht="10.95" customHeight="true" customFormat="true" s="9">
      <c r="A1308" s="16">
        <v>45573</v>
      </c>
      <c r="B1308" s="17" t="s">
        <v>730</v>
      </c>
      <c r="C1308" s="17" t="s">
        <v>731</v>
      </c>
      <c r="D1308" s="17" t="s">
        <v>732</v>
      </c>
      <c r="E1308" s="17" t="s">
        <v>36</v>
      </c>
      <c r="F1308" s="17" t="s">
        <v>55</v>
      </c>
      <c r="G1308" s="17" t="s">
        <v>57</v>
      </c>
      <c r="H1308" s="18">
        <v>1187.6000</v>
      </c>
      <c r="I1308" s="18">
        <v>0</v>
      </c>
      <c r="J1308" s="18">
        <f ca="1">((J1307 + H1308) - I1308)</f>
        <v>0</v>
      </c>
      <c r="K1308" s="18">
        <v>0</v>
      </c>
      <c r="L1308" s="19">
        <v>0</v>
      </c>
      <c r="M1308" s="17"/>
    </row>
    <row r="1309" ht="10.95" customHeight="true" customFormat="true" s="9">
      <c r="A1309" s="16">
        <v>45593</v>
      </c>
      <c r="B1309" s="17" t="s">
        <v>730</v>
      </c>
      <c r="C1309" s="17" t="s">
        <v>731</v>
      </c>
      <c r="D1309" s="17" t="s">
        <v>732</v>
      </c>
      <c r="E1309" s="17" t="s">
        <v>36</v>
      </c>
      <c r="F1309" s="17" t="s">
        <v>37</v>
      </c>
      <c r="G1309" s="17" t="s">
        <v>38</v>
      </c>
      <c r="H1309" s="18">
        <v>1934.5900</v>
      </c>
      <c r="I1309" s="18">
        <v>0</v>
      </c>
      <c r="J1309" s="18">
        <f ca="1">((J1308 + H1309) - I1309)</f>
        <v>0</v>
      </c>
      <c r="K1309" s="18">
        <v>0</v>
      </c>
      <c r="L1309" s="19">
        <v>0</v>
      </c>
      <c r="M1309" s="17"/>
    </row>
    <row r="1310" ht="10.95" customHeight="true" customFormat="true" s="9">
      <c r="A1310" s="16">
        <v>45594</v>
      </c>
      <c r="B1310" s="17" t="s">
        <v>730</v>
      </c>
      <c r="C1310" s="17" t="s">
        <v>731</v>
      </c>
      <c r="D1310" s="17" t="s">
        <v>732</v>
      </c>
      <c r="E1310" s="17" t="s">
        <v>36</v>
      </c>
      <c r="F1310" s="17" t="s">
        <v>43</v>
      </c>
      <c r="G1310" s="17" t="s">
        <v>58</v>
      </c>
      <c r="H1310" s="18">
        <v>2750.0000</v>
      </c>
      <c r="I1310" s="18">
        <v>0</v>
      </c>
      <c r="J1310" s="18">
        <f ca="1">((J1309 + H1310) - I1310)</f>
        <v>0</v>
      </c>
      <c r="K1310" s="18">
        <v>0</v>
      </c>
      <c r="L1310" s="19">
        <v>0</v>
      </c>
      <c r="M1310" s="17"/>
    </row>
    <row r="1311" ht="10.95" customHeight="true" customFormat="true" s="9">
      <c r="A1311" s="16">
        <v>45594</v>
      </c>
      <c r="B1311" s="17" t="s">
        <v>730</v>
      </c>
      <c r="C1311" s="17" t="s">
        <v>731</v>
      </c>
      <c r="D1311" s="17" t="s">
        <v>732</v>
      </c>
      <c r="E1311" s="17" t="s">
        <v>36</v>
      </c>
      <c r="F1311" s="17" t="s">
        <v>59</v>
      </c>
      <c r="G1311" s="17" t="s">
        <v>60</v>
      </c>
      <c r="H1311" s="18">
        <v>5936.9600</v>
      </c>
      <c r="I1311" s="18">
        <v>0</v>
      </c>
      <c r="J1311" s="18">
        <f ca="1">((J1310 + H1311) - I1311)</f>
        <v>0</v>
      </c>
      <c r="K1311" s="18">
        <v>0</v>
      </c>
      <c r="L1311" s="19">
        <v>0</v>
      </c>
      <c r="M1311" s="17"/>
    </row>
    <row r="1312" ht="10.95" customHeight="true" customFormat="true" s="9">
      <c r="A1312" s="16">
        <v>45596</v>
      </c>
      <c r="B1312" s="17" t="s">
        <v>730</v>
      </c>
      <c r="C1312" s="17" t="s">
        <v>731</v>
      </c>
      <c r="D1312" s="17" t="s">
        <v>732</v>
      </c>
      <c r="E1312" s="17" t="s">
        <v>339</v>
      </c>
      <c r="F1312" s="17" t="s">
        <v>737</v>
      </c>
      <c r="G1312" s="17" t="s">
        <v>56</v>
      </c>
      <c r="H1312" s="18">
        <v>0</v>
      </c>
      <c r="I1312" s="18">
        <v>5963.3700</v>
      </c>
      <c r="J1312" s="18">
        <f ca="1">((J1311 + H1312) - I1312)</f>
        <v>0</v>
      </c>
      <c r="K1312" s="18">
        <v>0</v>
      </c>
      <c r="L1312" s="19">
        <v>0</v>
      </c>
      <c r="M1312" s="17"/>
    </row>
    <row r="1313" ht="10.95" customHeight="true" customFormat="true" s="9">
      <c r="A1313" s="16">
        <v>45596</v>
      </c>
      <c r="B1313" s="17" t="s">
        <v>730</v>
      </c>
      <c r="C1313" s="17" t="s">
        <v>731</v>
      </c>
      <c r="D1313" s="17" t="s">
        <v>732</v>
      </c>
      <c r="E1313" s="17" t="s">
        <v>339</v>
      </c>
      <c r="F1313" s="17" t="s">
        <v>737</v>
      </c>
      <c r="G1313" s="17" t="s">
        <v>57</v>
      </c>
      <c r="H1313" s="18">
        <v>0</v>
      </c>
      <c r="I1313" s="18">
        <v>1187.6000</v>
      </c>
      <c r="J1313" s="18">
        <f ca="1">((J1312 + H1313) - I1313)</f>
        <v>0</v>
      </c>
      <c r="K1313" s="18">
        <v>0</v>
      </c>
      <c r="L1313" s="19">
        <v>0</v>
      </c>
      <c r="M1313" s="17"/>
    </row>
    <row r="1314" ht="10.95" customHeight="true" customFormat="true" s="9">
      <c r="A1314" s="16">
        <v>45596</v>
      </c>
      <c r="B1314" s="17" t="s">
        <v>730</v>
      </c>
      <c r="C1314" s="17" t="s">
        <v>731</v>
      </c>
      <c r="D1314" s="17" t="s">
        <v>732</v>
      </c>
      <c r="E1314" s="17" t="s">
        <v>339</v>
      </c>
      <c r="F1314" s="17" t="s">
        <v>734</v>
      </c>
      <c r="G1314" s="17" t="s">
        <v>61</v>
      </c>
      <c r="H1314" s="18">
        <v>0</v>
      </c>
      <c r="I1314" s="18">
        <v>2750.0000</v>
      </c>
      <c r="J1314" s="18">
        <f ca="1">((J1313 + H1314) - I1314)</f>
        <v>0</v>
      </c>
      <c r="K1314" s="18">
        <v>0</v>
      </c>
      <c r="L1314" s="19">
        <v>0</v>
      </c>
      <c r="M1314" s="17"/>
    </row>
    <row r="1315" ht="10.95" customHeight="true" customFormat="true" s="9">
      <c r="A1315" s="16">
        <v>45596</v>
      </c>
      <c r="B1315" s="17" t="s">
        <v>730</v>
      </c>
      <c r="C1315" s="17" t="s">
        <v>731</v>
      </c>
      <c r="D1315" s="17" t="s">
        <v>732</v>
      </c>
      <c r="E1315" s="17" t="s">
        <v>339</v>
      </c>
      <c r="F1315" s="17" t="s">
        <v>738</v>
      </c>
      <c r="G1315" s="17" t="s">
        <v>60</v>
      </c>
      <c r="H1315" s="18">
        <v>0</v>
      </c>
      <c r="I1315" s="18">
        <v>5936.9600</v>
      </c>
      <c r="J1315" s="18">
        <f ca="1">((J1314 + H1315) - I1315)</f>
        <v>0</v>
      </c>
      <c r="K1315" s="18">
        <v>0</v>
      </c>
      <c r="L1315" s="19">
        <v>0</v>
      </c>
      <c r="M1315" s="17"/>
    </row>
    <row r="1316" ht="10.95" customHeight="true" customFormat="true" s="9">
      <c r="A1316" s="16">
        <v>45596</v>
      </c>
      <c r="B1316" s="17" t="s">
        <v>730</v>
      </c>
      <c r="C1316" s="17" t="s">
        <v>731</v>
      </c>
      <c r="D1316" s="17" t="s">
        <v>732</v>
      </c>
      <c r="E1316" s="17" t="s">
        <v>339</v>
      </c>
      <c r="F1316" s="17" t="s">
        <v>735</v>
      </c>
      <c r="G1316" s="17" t="s">
        <v>631</v>
      </c>
      <c r="H1316" s="18">
        <v>0</v>
      </c>
      <c r="I1316" s="18">
        <v>378160.2100</v>
      </c>
      <c r="J1316" s="18">
        <f ca="1">((J1315 + H1316) - I1316)</f>
        <v>0</v>
      </c>
      <c r="K1316" s="18">
        <v>0</v>
      </c>
      <c r="L1316" s="19">
        <v>0</v>
      </c>
      <c r="M1316" s="17"/>
    </row>
    <row r="1317" ht="10.95" customHeight="true" customFormat="true" s="9">
      <c r="A1317" s="16">
        <v>45596</v>
      </c>
      <c r="B1317" s="17" t="s">
        <v>730</v>
      </c>
      <c r="C1317" s="17" t="s">
        <v>731</v>
      </c>
      <c r="D1317" s="17" t="s">
        <v>732</v>
      </c>
      <c r="E1317" s="17" t="s">
        <v>339</v>
      </c>
      <c r="F1317" s="17" t="s">
        <v>735</v>
      </c>
      <c r="G1317" s="17" t="s">
        <v>642</v>
      </c>
      <c r="H1317" s="18">
        <v>0</v>
      </c>
      <c r="I1317" s="18">
        <v>10109.8400</v>
      </c>
      <c r="J1317" s="18">
        <f ca="1">((J1316 + H1317) - I1317)</f>
        <v>0</v>
      </c>
      <c r="K1317" s="18">
        <v>0</v>
      </c>
      <c r="L1317" s="19">
        <v>0</v>
      </c>
      <c r="M1317" s="17"/>
    </row>
    <row r="1318" ht="10.95" customHeight="true" customFormat="true" s="9">
      <c r="A1318" s="16">
        <v>45596</v>
      </c>
      <c r="B1318" s="17" t="s">
        <v>730</v>
      </c>
      <c r="C1318" s="17" t="s">
        <v>731</v>
      </c>
      <c r="D1318" s="17" t="s">
        <v>732</v>
      </c>
      <c r="E1318" s="17" t="s">
        <v>339</v>
      </c>
      <c r="F1318" s="17" t="s">
        <v>735</v>
      </c>
      <c r="G1318" s="17" t="s">
        <v>444</v>
      </c>
      <c r="H1318" s="18">
        <v>0</v>
      </c>
      <c r="I1318" s="18">
        <v>18261.8400</v>
      </c>
      <c r="J1318" s="18">
        <f ca="1">((J1317 + H1318) - I1318)</f>
        <v>0</v>
      </c>
      <c r="K1318" s="18">
        <v>0</v>
      </c>
      <c r="L1318" s="19">
        <v>0</v>
      </c>
      <c r="M1318" s="17"/>
    </row>
    <row r="1319" ht="10.95" customHeight="true" customFormat="true" s="9">
      <c r="A1319" s="16">
        <v>45597</v>
      </c>
      <c r="B1319" s="17" t="s">
        <v>730</v>
      </c>
      <c r="C1319" s="17" t="s">
        <v>731</v>
      </c>
      <c r="D1319" s="17" t="s">
        <v>732</v>
      </c>
      <c r="E1319" s="17" t="s">
        <v>339</v>
      </c>
      <c r="F1319" s="17" t="s">
        <v>733</v>
      </c>
      <c r="G1319" s="17" t="s">
        <v>38</v>
      </c>
      <c r="H1319" s="18">
        <v>0</v>
      </c>
      <c r="I1319" s="18">
        <v>1934.5900</v>
      </c>
      <c r="J1319" s="18">
        <f ca="1">((J1318 + H1319) - I1319)</f>
        <v>0</v>
      </c>
      <c r="K1319" s="18">
        <v>0</v>
      </c>
      <c r="L1319" s="19">
        <v>0</v>
      </c>
      <c r="M1319" s="17"/>
    </row>
    <row r="1320" ht="10.95" customHeight="true" customFormat="true" s="9">
      <c r="A1320" s="16">
        <v>45600</v>
      </c>
      <c r="B1320" s="17" t="s">
        <v>730</v>
      </c>
      <c r="C1320" s="17" t="s">
        <v>731</v>
      </c>
      <c r="D1320" s="17" t="s">
        <v>732</v>
      </c>
      <c r="E1320" s="17" t="s">
        <v>36</v>
      </c>
      <c r="F1320" s="17" t="s">
        <v>43</v>
      </c>
      <c r="G1320" s="17" t="s">
        <v>61</v>
      </c>
      <c r="H1320" s="18">
        <v>2750.0000</v>
      </c>
      <c r="I1320" s="18">
        <v>0</v>
      </c>
      <c r="J1320" s="18">
        <f ca="1">((J1319 + H1320) - I1320)</f>
        <v>0</v>
      </c>
      <c r="K1320" s="18">
        <v>0</v>
      </c>
      <c r="L1320" s="19">
        <v>0</v>
      </c>
      <c r="M1320" s="17"/>
    </row>
    <row r="1321" ht="10.95" customHeight="true" customFormat="true" s="9">
      <c r="A1321" s="16">
        <v>45615</v>
      </c>
      <c r="B1321" s="17" t="s">
        <v>730</v>
      </c>
      <c r="C1321" s="17" t="s">
        <v>731</v>
      </c>
      <c r="D1321" s="17" t="s">
        <v>732</v>
      </c>
      <c r="E1321" s="17" t="s">
        <v>36</v>
      </c>
      <c r="F1321" s="17" t="s">
        <v>76</v>
      </c>
      <c r="G1321" s="17" t="s">
        <v>121</v>
      </c>
      <c r="H1321" s="18">
        <v>68853.4500</v>
      </c>
      <c r="I1321" s="18">
        <v>0</v>
      </c>
      <c r="J1321" s="18">
        <f ca="1">((J1320 + H1321) - I1321)</f>
        <v>0</v>
      </c>
      <c r="K1321" s="18">
        <v>0</v>
      </c>
      <c r="L1321" s="19">
        <v>0</v>
      </c>
      <c r="M1321" s="17"/>
    </row>
    <row r="1322" ht="10.95" customHeight="true" customFormat="true" s="9">
      <c r="A1322" s="16">
        <v>45615</v>
      </c>
      <c r="B1322" s="17" t="s">
        <v>730</v>
      </c>
      <c r="C1322" s="17" t="s">
        <v>731</v>
      </c>
      <c r="D1322" s="17" t="s">
        <v>732</v>
      </c>
      <c r="E1322" s="17" t="s">
        <v>36</v>
      </c>
      <c r="F1322" s="17" t="s">
        <v>76</v>
      </c>
      <c r="G1322" s="17" t="s">
        <v>122</v>
      </c>
      <c r="H1322" s="18">
        <v>103228.5500</v>
      </c>
      <c r="I1322" s="18">
        <v>0</v>
      </c>
      <c r="J1322" s="18">
        <f ca="1">((J1321 + H1322) - I1322)</f>
        <v>0</v>
      </c>
      <c r="K1322" s="18">
        <v>0</v>
      </c>
      <c r="L1322" s="19">
        <v>0</v>
      </c>
      <c r="M1322" s="17"/>
    </row>
    <row r="1323" ht="10.95" customHeight="true" customFormat="true" s="9">
      <c r="A1323" s="16">
        <v>45615</v>
      </c>
      <c r="B1323" s="17" t="s">
        <v>730</v>
      </c>
      <c r="C1323" s="17" t="s">
        <v>731</v>
      </c>
      <c r="D1323" s="17" t="s">
        <v>732</v>
      </c>
      <c r="E1323" s="17" t="s">
        <v>36</v>
      </c>
      <c r="F1323" s="17" t="s">
        <v>76</v>
      </c>
      <c r="G1323" s="17" t="s">
        <v>123</v>
      </c>
      <c r="H1323" s="18">
        <v>119203.3300</v>
      </c>
      <c r="I1323" s="18">
        <v>0</v>
      </c>
      <c r="J1323" s="18">
        <f ca="1">((J1322 + H1323) - I1323)</f>
        <v>0</v>
      </c>
      <c r="K1323" s="18">
        <v>0</v>
      </c>
      <c r="L1323" s="19">
        <v>0</v>
      </c>
      <c r="M1323" s="17"/>
    </row>
    <row r="1324" ht="10.95" customHeight="true" customFormat="true" s="9">
      <c r="A1324" s="16">
        <v>45615</v>
      </c>
      <c r="B1324" s="17" t="s">
        <v>730</v>
      </c>
      <c r="C1324" s="17" t="s">
        <v>731</v>
      </c>
      <c r="D1324" s="17" t="s">
        <v>732</v>
      </c>
      <c r="E1324" s="17" t="s">
        <v>36</v>
      </c>
      <c r="F1324" s="17" t="s">
        <v>76</v>
      </c>
      <c r="G1324" s="17" t="s">
        <v>124</v>
      </c>
      <c r="H1324" s="18">
        <v>224989.2900</v>
      </c>
      <c r="I1324" s="18">
        <v>0</v>
      </c>
      <c r="J1324" s="18">
        <f ca="1">((J1323 + H1324) - I1324)</f>
        <v>0</v>
      </c>
      <c r="K1324" s="18">
        <v>0</v>
      </c>
      <c r="L1324" s="19">
        <v>0</v>
      </c>
      <c r="M1324" s="17"/>
    </row>
    <row r="1325" ht="10.95" customHeight="true" customFormat="true" s="9">
      <c r="A1325" s="16">
        <v>45615</v>
      </c>
      <c r="B1325" s="17" t="s">
        <v>730</v>
      </c>
      <c r="C1325" s="17" t="s">
        <v>731</v>
      </c>
      <c r="D1325" s="17" t="s">
        <v>732</v>
      </c>
      <c r="E1325" s="17" t="s">
        <v>36</v>
      </c>
      <c r="F1325" s="17" t="s">
        <v>76</v>
      </c>
      <c r="G1325" s="17" t="s">
        <v>125</v>
      </c>
      <c r="H1325" s="18">
        <v>12005.8300</v>
      </c>
      <c r="I1325" s="18">
        <v>0</v>
      </c>
      <c r="J1325" s="18">
        <f ca="1">((J1324 + H1325) - I1325)</f>
        <v>0</v>
      </c>
      <c r="K1325" s="18">
        <v>0</v>
      </c>
      <c r="L1325" s="19">
        <v>0</v>
      </c>
      <c r="M1325" s="17"/>
    </row>
    <row r="1326" ht="10.95" customHeight="true" customFormat="true" s="9">
      <c r="A1326" s="16">
        <v>45624</v>
      </c>
      <c r="B1326" s="17" t="s">
        <v>730</v>
      </c>
      <c r="C1326" s="17" t="s">
        <v>731</v>
      </c>
      <c r="D1326" s="17" t="s">
        <v>732</v>
      </c>
      <c r="E1326" s="17" t="s">
        <v>36</v>
      </c>
      <c r="F1326" s="17" t="s">
        <v>37</v>
      </c>
      <c r="G1326" s="17" t="s">
        <v>38</v>
      </c>
      <c r="H1326" s="18">
        <v>1934.5900</v>
      </c>
      <c r="I1326" s="18">
        <v>0</v>
      </c>
      <c r="J1326" s="18">
        <f ca="1">((J1325 + H1326) - I1326)</f>
        <v>0</v>
      </c>
      <c r="K1326" s="18">
        <v>0</v>
      </c>
      <c r="L1326" s="19">
        <v>0</v>
      </c>
      <c r="M1326" s="17"/>
    </row>
    <row r="1327" ht="10.95" customHeight="true" customFormat="true" s="9">
      <c r="A1327" s="16">
        <v>45626</v>
      </c>
      <c r="B1327" s="17" t="s">
        <v>730</v>
      </c>
      <c r="C1327" s="17" t="s">
        <v>731</v>
      </c>
      <c r="D1327" s="17" t="s">
        <v>732</v>
      </c>
      <c r="E1327" s="17" t="s">
        <v>339</v>
      </c>
      <c r="F1327" s="17" t="s">
        <v>735</v>
      </c>
      <c r="G1327" s="17" t="s">
        <v>446</v>
      </c>
      <c r="H1327" s="18">
        <v>0</v>
      </c>
      <c r="I1327" s="18">
        <v>18430.0900</v>
      </c>
      <c r="J1327" s="18">
        <f ca="1">((J1326 + H1327) - I1327)</f>
        <v>0</v>
      </c>
      <c r="K1327" s="18">
        <v>0</v>
      </c>
      <c r="L1327" s="19">
        <v>0</v>
      </c>
      <c r="M1327" s="17"/>
    </row>
    <row r="1328" ht="10.95" customHeight="true" customFormat="true" s="9">
      <c r="A1328" s="16">
        <v>45626</v>
      </c>
      <c r="B1328" s="17" t="s">
        <v>730</v>
      </c>
      <c r="C1328" s="17" t="s">
        <v>731</v>
      </c>
      <c r="D1328" s="17" t="s">
        <v>732</v>
      </c>
      <c r="E1328" s="17" t="s">
        <v>339</v>
      </c>
      <c r="F1328" s="17" t="s">
        <v>734</v>
      </c>
      <c r="G1328" s="17" t="s">
        <v>62</v>
      </c>
      <c r="H1328" s="18">
        <v>0</v>
      </c>
      <c r="I1328" s="18">
        <v>2750.0000</v>
      </c>
      <c r="J1328" s="18">
        <f ca="1">((J1327 + H1328) - I1328)</f>
        <v>0</v>
      </c>
      <c r="K1328" s="18">
        <v>0</v>
      </c>
      <c r="L1328" s="19">
        <v>0</v>
      </c>
      <c r="M1328" s="17"/>
    </row>
    <row r="1329" ht="10.95" customHeight="true" customFormat="true" s="9">
      <c r="A1329" s="16">
        <v>45626</v>
      </c>
      <c r="B1329" s="17" t="s">
        <v>730</v>
      </c>
      <c r="C1329" s="17" t="s">
        <v>731</v>
      </c>
      <c r="D1329" s="17" t="s">
        <v>732</v>
      </c>
      <c r="E1329" s="17" t="s">
        <v>339</v>
      </c>
      <c r="F1329" s="17" t="s">
        <v>735</v>
      </c>
      <c r="G1329" s="17" t="s">
        <v>623</v>
      </c>
      <c r="H1329" s="18">
        <v>0</v>
      </c>
      <c r="I1329" s="18">
        <v>204989.8300</v>
      </c>
      <c r="J1329" s="18">
        <f ca="1">((J1328 + H1329) - I1329)</f>
        <v>0</v>
      </c>
      <c r="K1329" s="18">
        <v>0</v>
      </c>
      <c r="L1329" s="19">
        <v>0</v>
      </c>
      <c r="M1329" s="17"/>
    </row>
    <row r="1330" ht="10.95" customHeight="true" customFormat="true" s="9">
      <c r="A1330" s="16">
        <v>45626</v>
      </c>
      <c r="B1330" s="17" t="s">
        <v>730</v>
      </c>
      <c r="C1330" s="17" t="s">
        <v>731</v>
      </c>
      <c r="D1330" s="17" t="s">
        <v>732</v>
      </c>
      <c r="E1330" s="17" t="s">
        <v>339</v>
      </c>
      <c r="F1330" s="17" t="s">
        <v>735</v>
      </c>
      <c r="G1330" s="17" t="s">
        <v>666</v>
      </c>
      <c r="H1330" s="18">
        <v>0</v>
      </c>
      <c r="I1330" s="18">
        <v>9215.0500</v>
      </c>
      <c r="J1330" s="18">
        <f ca="1">((J1329 + H1330) - I1330)</f>
        <v>0</v>
      </c>
      <c r="K1330" s="18">
        <v>0</v>
      </c>
      <c r="L1330" s="19">
        <v>0</v>
      </c>
      <c r="M1330" s="17"/>
    </row>
    <row r="1331" ht="10.95" customHeight="true" customFormat="true" s="9">
      <c r="A1331" s="16">
        <v>45626</v>
      </c>
      <c r="B1331" s="17" t="s">
        <v>730</v>
      </c>
      <c r="C1331" s="17" t="s">
        <v>731</v>
      </c>
      <c r="D1331" s="17" t="s">
        <v>732</v>
      </c>
      <c r="E1331" s="17" t="s">
        <v>339</v>
      </c>
      <c r="F1331" s="17" t="s">
        <v>735</v>
      </c>
      <c r="G1331" s="17" t="s">
        <v>587</v>
      </c>
      <c r="H1331" s="18">
        <v>0</v>
      </c>
      <c r="I1331" s="18">
        <v>163152.4100</v>
      </c>
      <c r="J1331" s="18">
        <f ca="1">((J1330 + H1331) - I1331)</f>
        <v>0</v>
      </c>
      <c r="K1331" s="18">
        <v>0</v>
      </c>
      <c r="L1331" s="19">
        <v>0</v>
      </c>
      <c r="M1331" s="17"/>
    </row>
    <row r="1332" ht="10.95" customHeight="true" customFormat="true" s="9">
      <c r="A1332" s="16">
        <v>45627</v>
      </c>
      <c r="B1332" s="17" t="s">
        <v>730</v>
      </c>
      <c r="C1332" s="17" t="s">
        <v>731</v>
      </c>
      <c r="D1332" s="17" t="s">
        <v>732</v>
      </c>
      <c r="E1332" s="17" t="s">
        <v>339</v>
      </c>
      <c r="F1332" s="17" t="s">
        <v>733</v>
      </c>
      <c r="G1332" s="17" t="s">
        <v>38</v>
      </c>
      <c r="H1332" s="18">
        <v>0</v>
      </c>
      <c r="I1332" s="18">
        <v>1934.5900</v>
      </c>
      <c r="J1332" s="18">
        <f ca="1">((J1331 + H1332) - I1332)</f>
        <v>0</v>
      </c>
      <c r="K1332" s="18">
        <v>0</v>
      </c>
      <c r="L1332" s="19">
        <v>0</v>
      </c>
      <c r="M1332" s="17"/>
    </row>
    <row r="1333" ht="10.95" customHeight="true" customFormat="true" s="9">
      <c r="A1333" s="16">
        <v>45644</v>
      </c>
      <c r="B1333" s="17" t="s">
        <v>730</v>
      </c>
      <c r="C1333" s="17" t="s">
        <v>731</v>
      </c>
      <c r="D1333" s="17" t="s">
        <v>732</v>
      </c>
      <c r="E1333" s="17" t="s">
        <v>36</v>
      </c>
      <c r="F1333" s="17" t="s">
        <v>43</v>
      </c>
      <c r="G1333" s="17" t="s">
        <v>62</v>
      </c>
      <c r="H1333" s="18">
        <v>2750.0000</v>
      </c>
      <c r="I1333" s="18">
        <v>0</v>
      </c>
      <c r="J1333" s="18">
        <f ca="1">((J1332 + H1333) - I1333)</f>
        <v>0</v>
      </c>
      <c r="K1333" s="18">
        <v>0</v>
      </c>
      <c r="L1333" s="19">
        <v>0</v>
      </c>
      <c r="M1333" s="17"/>
    </row>
    <row r="1334" ht="10.95" customHeight="true" customFormat="true" s="9">
      <c r="A1334" s="16">
        <v>45650</v>
      </c>
      <c r="B1334" s="17" t="s">
        <v>730</v>
      </c>
      <c r="C1334" s="17" t="s">
        <v>731</v>
      </c>
      <c r="D1334" s="17" t="s">
        <v>732</v>
      </c>
      <c r="E1334" s="17" t="s">
        <v>36</v>
      </c>
      <c r="F1334" s="17" t="s">
        <v>76</v>
      </c>
      <c r="G1334" s="17" t="s">
        <v>129</v>
      </c>
      <c r="H1334" s="18">
        <v>117537.0900</v>
      </c>
      <c r="I1334" s="18">
        <v>0</v>
      </c>
      <c r="J1334" s="18">
        <f ca="1">((J1333 + H1334) - I1334)</f>
        <v>0</v>
      </c>
      <c r="K1334" s="18">
        <v>0</v>
      </c>
      <c r="L1334" s="19">
        <v>0</v>
      </c>
      <c r="M1334" s="17"/>
    </row>
    <row r="1335" ht="10.95" customHeight="true" customFormat="true" s="9">
      <c r="A1335" s="16">
        <v>45650</v>
      </c>
      <c r="B1335" s="17" t="s">
        <v>730</v>
      </c>
      <c r="C1335" s="17" t="s">
        <v>731</v>
      </c>
      <c r="D1335" s="17" t="s">
        <v>732</v>
      </c>
      <c r="E1335" s="17" t="s">
        <v>36</v>
      </c>
      <c r="F1335" s="17" t="s">
        <v>76</v>
      </c>
      <c r="G1335" s="17" t="s">
        <v>130</v>
      </c>
      <c r="H1335" s="18">
        <v>6002.9200</v>
      </c>
      <c r="I1335" s="18">
        <v>0</v>
      </c>
      <c r="J1335" s="18">
        <f ca="1">((J1334 + H1335) - I1335)</f>
        <v>0</v>
      </c>
      <c r="K1335" s="18">
        <v>0</v>
      </c>
      <c r="L1335" s="19">
        <v>0</v>
      </c>
      <c r="M1335" s="17"/>
    </row>
    <row r="1336" ht="10.95" customHeight="true" customFormat="true" s="9">
      <c r="A1336" s="16">
        <v>45650</v>
      </c>
      <c r="B1336" s="17" t="s">
        <v>730</v>
      </c>
      <c r="C1336" s="17" t="s">
        <v>731</v>
      </c>
      <c r="D1336" s="17" t="s">
        <v>732</v>
      </c>
      <c r="E1336" s="17" t="s">
        <v>36</v>
      </c>
      <c r="F1336" s="17" t="s">
        <v>76</v>
      </c>
      <c r="G1336" s="17" t="s">
        <v>131</v>
      </c>
      <c r="H1336" s="18">
        <v>18391.0900</v>
      </c>
      <c r="I1336" s="18">
        <v>0</v>
      </c>
      <c r="J1336" s="18">
        <f ca="1">((J1335 + H1336) - I1336)</f>
        <v>0</v>
      </c>
      <c r="K1336" s="18">
        <v>0</v>
      </c>
      <c r="L1336" s="19">
        <v>0</v>
      </c>
      <c r="M1336" s="17"/>
    </row>
    <row r="1337" ht="10.95" customHeight="true" customFormat="true" s="9">
      <c r="A1337" s="16">
        <v>45650</v>
      </c>
      <c r="B1337" s="17" t="s">
        <v>730</v>
      </c>
      <c r="C1337" s="17" t="s">
        <v>731</v>
      </c>
      <c r="D1337" s="17" t="s">
        <v>732</v>
      </c>
      <c r="E1337" s="17" t="s">
        <v>36</v>
      </c>
      <c r="F1337" s="17" t="s">
        <v>76</v>
      </c>
      <c r="G1337" s="17" t="s">
        <v>132</v>
      </c>
      <c r="H1337" s="18">
        <v>17999.7500</v>
      </c>
      <c r="I1337" s="18">
        <v>0</v>
      </c>
      <c r="J1337" s="18">
        <f ca="1">((J1336 + H1337) - I1337)</f>
        <v>0</v>
      </c>
      <c r="K1337" s="18">
        <v>0</v>
      </c>
      <c r="L1337" s="19">
        <v>0</v>
      </c>
      <c r="M1337" s="17"/>
    </row>
    <row r="1338" ht="10.95" customHeight="true" customFormat="true" s="9">
      <c r="A1338" s="16">
        <v>45650</v>
      </c>
      <c r="B1338" s="17" t="s">
        <v>730</v>
      </c>
      <c r="C1338" s="17" t="s">
        <v>731</v>
      </c>
      <c r="D1338" s="17" t="s">
        <v>732</v>
      </c>
      <c r="E1338" s="17" t="s">
        <v>36</v>
      </c>
      <c r="F1338" s="17" t="s">
        <v>76</v>
      </c>
      <c r="G1338" s="17" t="s">
        <v>133</v>
      </c>
      <c r="H1338" s="18">
        <v>166600.8400</v>
      </c>
      <c r="I1338" s="18">
        <v>0</v>
      </c>
      <c r="J1338" s="18">
        <f ca="1">((J1337 + H1338) - I1338)</f>
        <v>0</v>
      </c>
      <c r="K1338" s="18">
        <v>0</v>
      </c>
      <c r="L1338" s="19">
        <v>0</v>
      </c>
      <c r="M1338" s="17"/>
    </row>
    <row r="1339" ht="10.95" customHeight="true" customFormat="true" s="9">
      <c r="A1339" s="16">
        <v>45650</v>
      </c>
      <c r="B1339" s="17" t="s">
        <v>730</v>
      </c>
      <c r="C1339" s="17" t="s">
        <v>731</v>
      </c>
      <c r="D1339" s="17" t="s">
        <v>732</v>
      </c>
      <c r="E1339" s="17" t="s">
        <v>36</v>
      </c>
      <c r="F1339" s="17" t="s">
        <v>76</v>
      </c>
      <c r="G1339" s="17" t="s">
        <v>134</v>
      </c>
      <c r="H1339" s="18">
        <v>10838.4800</v>
      </c>
      <c r="I1339" s="18">
        <v>0</v>
      </c>
      <c r="J1339" s="18">
        <f ca="1">((J1338 + H1339) - I1339)</f>
        <v>0</v>
      </c>
      <c r="K1339" s="18">
        <v>0</v>
      </c>
      <c r="L1339" s="19">
        <v>0</v>
      </c>
      <c r="M1339" s="17"/>
    </row>
    <row r="1340" ht="10.95" customHeight="true" customFormat="true" s="9">
      <c r="A1340" s="16">
        <v>45650</v>
      </c>
      <c r="B1340" s="17" t="s">
        <v>730</v>
      </c>
      <c r="C1340" s="17" t="s">
        <v>731</v>
      </c>
      <c r="D1340" s="17" t="s">
        <v>732</v>
      </c>
      <c r="E1340" s="17" t="s">
        <v>36</v>
      </c>
      <c r="F1340" s="17" t="s">
        <v>76</v>
      </c>
      <c r="G1340" s="17" t="s">
        <v>135</v>
      </c>
      <c r="H1340" s="18">
        <v>18064.1300</v>
      </c>
      <c r="I1340" s="18">
        <v>0</v>
      </c>
      <c r="J1340" s="18">
        <f ca="1">((J1339 + H1340) - I1340)</f>
        <v>0</v>
      </c>
      <c r="K1340" s="18">
        <v>0</v>
      </c>
      <c r="L1340" s="19">
        <v>0</v>
      </c>
      <c r="M1340" s="17"/>
    </row>
    <row r="1341" ht="10.95" customHeight="true" customFormat="true" s="9">
      <c r="A1341" s="16">
        <v>45650</v>
      </c>
      <c r="B1341" s="17" t="s">
        <v>730</v>
      </c>
      <c r="C1341" s="17" t="s">
        <v>731</v>
      </c>
      <c r="D1341" s="17" t="s">
        <v>732</v>
      </c>
      <c r="E1341" s="17" t="s">
        <v>36</v>
      </c>
      <c r="F1341" s="17" t="s">
        <v>76</v>
      </c>
      <c r="G1341" s="17" t="s">
        <v>136</v>
      </c>
      <c r="H1341" s="18">
        <v>122824.6900</v>
      </c>
      <c r="I1341" s="18">
        <v>0</v>
      </c>
      <c r="J1341" s="18">
        <f ca="1">((J1340 + H1341) - I1341)</f>
        <v>0</v>
      </c>
      <c r="K1341" s="18">
        <v>0</v>
      </c>
      <c r="L1341" s="19">
        <v>0</v>
      </c>
      <c r="M1341" s="17"/>
    </row>
    <row r="1342" ht="10.95" customHeight="true" customFormat="true" s="9">
      <c r="A1342" s="16">
        <v>45650</v>
      </c>
      <c r="B1342" s="17" t="s">
        <v>730</v>
      </c>
      <c r="C1342" s="17" t="s">
        <v>731</v>
      </c>
      <c r="D1342" s="17" t="s">
        <v>732</v>
      </c>
      <c r="E1342" s="17" t="s">
        <v>36</v>
      </c>
      <c r="F1342" s="17" t="s">
        <v>76</v>
      </c>
      <c r="G1342" s="17" t="s">
        <v>137</v>
      </c>
      <c r="H1342" s="18">
        <v>8262.9300</v>
      </c>
      <c r="I1342" s="18">
        <v>0</v>
      </c>
      <c r="J1342" s="18">
        <f ca="1">((J1341 + H1342) - I1342)</f>
        <v>0</v>
      </c>
      <c r="K1342" s="18">
        <v>0</v>
      </c>
      <c r="L1342" s="19">
        <v>0</v>
      </c>
      <c r="M1342" s="17"/>
    </row>
    <row r="1343" ht="10.95" customHeight="true" customFormat="true" s="9">
      <c r="A1343" s="16">
        <v>45650</v>
      </c>
      <c r="B1343" s="17" t="s">
        <v>730</v>
      </c>
      <c r="C1343" s="17" t="s">
        <v>731</v>
      </c>
      <c r="D1343" s="17" t="s">
        <v>732</v>
      </c>
      <c r="E1343" s="17" t="s">
        <v>36</v>
      </c>
      <c r="F1343" s="17" t="s">
        <v>76</v>
      </c>
      <c r="G1343" s="17" t="s">
        <v>138</v>
      </c>
      <c r="H1343" s="18">
        <v>109784.8400</v>
      </c>
      <c r="I1343" s="18">
        <v>0</v>
      </c>
      <c r="J1343" s="18">
        <f ca="1">((J1342 + H1343) - I1343)</f>
        <v>0</v>
      </c>
      <c r="K1343" s="18">
        <v>0</v>
      </c>
      <c r="L1343" s="19">
        <v>0</v>
      </c>
      <c r="M1343" s="17"/>
    </row>
    <row r="1344" ht="10.95" customHeight="true" customFormat="true" s="9">
      <c r="A1344" s="16">
        <v>45650</v>
      </c>
      <c r="B1344" s="17" t="s">
        <v>730</v>
      </c>
      <c r="C1344" s="17" t="s">
        <v>731</v>
      </c>
      <c r="D1344" s="17" t="s">
        <v>732</v>
      </c>
      <c r="E1344" s="17" t="s">
        <v>36</v>
      </c>
      <c r="F1344" s="17" t="s">
        <v>76</v>
      </c>
      <c r="G1344" s="17" t="s">
        <v>139</v>
      </c>
      <c r="H1344" s="18">
        <v>12886.2400</v>
      </c>
      <c r="I1344" s="18">
        <v>0</v>
      </c>
      <c r="J1344" s="18">
        <f ca="1">((J1343 + H1344) - I1344)</f>
        <v>0</v>
      </c>
      <c r="K1344" s="18">
        <v>0</v>
      </c>
      <c r="L1344" s="19">
        <v>0</v>
      </c>
      <c r="M1344" s="17"/>
    </row>
    <row r="1345" ht="10.95" customHeight="true" customFormat="true" s="9">
      <c r="A1345" s="16">
        <v>45654</v>
      </c>
      <c r="B1345" s="17" t="s">
        <v>730</v>
      </c>
      <c r="C1345" s="17" t="s">
        <v>731</v>
      </c>
      <c r="D1345" s="17" t="s">
        <v>732</v>
      </c>
      <c r="E1345" s="17" t="s">
        <v>36</v>
      </c>
      <c r="F1345" s="17" t="s">
        <v>37</v>
      </c>
      <c r="G1345" s="17" t="s">
        <v>38</v>
      </c>
      <c r="H1345" s="18">
        <v>1934.5900</v>
      </c>
      <c r="I1345" s="18">
        <v>0</v>
      </c>
      <c r="J1345" s="18">
        <f ca="1">((J1344 + H1345) - I1345)</f>
        <v>0</v>
      </c>
      <c r="K1345" s="18">
        <v>0</v>
      </c>
      <c r="L1345" s="19">
        <v>0</v>
      </c>
      <c r="M1345" s="17"/>
    </row>
    <row r="1346" ht="10.95" customHeight="true" customFormat="true" s="9">
      <c r="A1346" s="16">
        <v>45657</v>
      </c>
      <c r="B1346" s="17" t="s">
        <v>730</v>
      </c>
      <c r="C1346" s="17" t="s">
        <v>731</v>
      </c>
      <c r="D1346" s="17" t="s">
        <v>732</v>
      </c>
      <c r="E1346" s="17" t="s">
        <v>339</v>
      </c>
      <c r="F1346" s="17" t="s">
        <v>735</v>
      </c>
      <c r="G1346" s="17" t="s">
        <v>447</v>
      </c>
      <c r="H1346" s="18">
        <v>0</v>
      </c>
      <c r="I1346" s="18">
        <v>19320.4700</v>
      </c>
      <c r="J1346" s="18">
        <f ca="1">((J1345 + H1346) - I1346)</f>
        <v>0</v>
      </c>
      <c r="K1346" s="18">
        <v>0</v>
      </c>
      <c r="L1346" s="19">
        <v>0</v>
      </c>
      <c r="M1346" s="17"/>
    </row>
    <row r="1347" ht="10.95" customHeight="true" customFormat="true" s="9">
      <c r="A1347" s="16">
        <v>45657</v>
      </c>
      <c r="B1347" s="17" t="s">
        <v>730</v>
      </c>
      <c r="C1347" s="17" t="s">
        <v>731</v>
      </c>
      <c r="D1347" s="17" t="s">
        <v>732</v>
      </c>
      <c r="E1347" s="17" t="s">
        <v>339</v>
      </c>
      <c r="F1347" s="17" t="s">
        <v>734</v>
      </c>
      <c r="G1347" s="17" t="s">
        <v>63</v>
      </c>
      <c r="H1347" s="18">
        <v>0</v>
      </c>
      <c r="I1347" s="18">
        <v>2750.0000</v>
      </c>
      <c r="J1347" s="18">
        <f ca="1">((J1346 + H1347) - I1347)</f>
        <v>0</v>
      </c>
      <c r="K1347" s="18">
        <v>0</v>
      </c>
      <c r="L1347" s="19">
        <v>0</v>
      </c>
      <c r="M1347" s="17"/>
    </row>
    <row r="1348" ht="10.95" customHeight="true" customFormat="true" s="9">
      <c r="A1348" s="16">
        <v>45658</v>
      </c>
      <c r="B1348" s="17" t="s">
        <v>730</v>
      </c>
      <c r="C1348" s="17" t="s">
        <v>731</v>
      </c>
      <c r="D1348" s="17" t="s">
        <v>732</v>
      </c>
      <c r="E1348" s="17" t="s">
        <v>339</v>
      </c>
      <c r="F1348" s="17" t="s">
        <v>733</v>
      </c>
      <c r="G1348" s="17" t="s">
        <v>38</v>
      </c>
      <c r="H1348" s="18">
        <v>0</v>
      </c>
      <c r="I1348" s="18">
        <v>1934.5900</v>
      </c>
      <c r="J1348" s="18">
        <f ca="1">((J1347 + H1348) - I1348)</f>
        <v>0</v>
      </c>
      <c r="K1348" s="18">
        <v>0</v>
      </c>
      <c r="L1348" s="19">
        <v>0</v>
      </c>
      <c r="M1348" s="17"/>
    </row>
    <row r="1349" ht="10.95" customHeight="true" customFormat="true" s="9">
      <c r="A1349" s="16">
        <v>45680</v>
      </c>
      <c r="B1349" s="17" t="s">
        <v>730</v>
      </c>
      <c r="C1349" s="17" t="s">
        <v>731</v>
      </c>
      <c r="D1349" s="17" t="s">
        <v>732</v>
      </c>
      <c r="E1349" s="17" t="s">
        <v>36</v>
      </c>
      <c r="F1349" s="17" t="s">
        <v>37</v>
      </c>
      <c r="G1349" s="17" t="s">
        <v>38</v>
      </c>
      <c r="H1349" s="18">
        <v>1934.5900</v>
      </c>
      <c r="I1349" s="18">
        <v>0</v>
      </c>
      <c r="J1349" s="18">
        <f ca="1">((J1348 + H1349) - I1349)</f>
        <v>0</v>
      </c>
      <c r="K1349" s="18">
        <v>0</v>
      </c>
      <c r="L1349" s="19">
        <v>0</v>
      </c>
      <c r="M1349" s="17"/>
    </row>
    <row r="1350" ht="10.95" customHeight="true" customFormat="true" s="9">
      <c r="A1350" s="16">
        <v>45681</v>
      </c>
      <c r="B1350" s="17" t="s">
        <v>730</v>
      </c>
      <c r="C1350" s="17" t="s">
        <v>731</v>
      </c>
      <c r="D1350" s="17" t="s">
        <v>732</v>
      </c>
      <c r="E1350" s="17" t="s">
        <v>36</v>
      </c>
      <c r="F1350" s="17" t="s">
        <v>43</v>
      </c>
      <c r="G1350" s="17" t="s">
        <v>63</v>
      </c>
      <c r="H1350" s="18">
        <v>2750.0000</v>
      </c>
      <c r="I1350" s="18">
        <v>0</v>
      </c>
      <c r="J1350" s="18">
        <f ca="1">((J1349 + H1350) - I1350)</f>
        <v>0</v>
      </c>
      <c r="K1350" s="18">
        <v>0</v>
      </c>
      <c r="L1350" s="19">
        <v>0</v>
      </c>
      <c r="M1350" s="17"/>
    </row>
    <row r="1351" ht="10.95" customHeight="true" customFormat="true" s="9">
      <c r="A1351" s="16">
        <v>45688</v>
      </c>
      <c r="B1351" s="17" t="s">
        <v>730</v>
      </c>
      <c r="C1351" s="17" t="s">
        <v>731</v>
      </c>
      <c r="D1351" s="17" t="s">
        <v>732</v>
      </c>
      <c r="E1351" s="17" t="s">
        <v>339</v>
      </c>
      <c r="F1351" s="17" t="s">
        <v>735</v>
      </c>
      <c r="G1351" s="17" t="s">
        <v>448</v>
      </c>
      <c r="H1351" s="18">
        <v>0</v>
      </c>
      <c r="I1351" s="18">
        <v>19314.9600</v>
      </c>
      <c r="J1351" s="18">
        <f ca="1">((J1350 + H1351) - I1351)</f>
        <v>0</v>
      </c>
      <c r="K1351" s="18">
        <v>0</v>
      </c>
      <c r="L1351" s="19">
        <v>0</v>
      </c>
      <c r="M1351" s="17"/>
    </row>
    <row r="1352" ht="10.95" customHeight="true" customFormat="true" s="9">
      <c r="A1352" s="16">
        <v>45688</v>
      </c>
      <c r="B1352" s="17" t="s">
        <v>730</v>
      </c>
      <c r="C1352" s="17" t="s">
        <v>731</v>
      </c>
      <c r="D1352" s="17" t="s">
        <v>732</v>
      </c>
      <c r="E1352" s="17" t="s">
        <v>339</v>
      </c>
      <c r="F1352" s="17" t="s">
        <v>735</v>
      </c>
      <c r="G1352" s="17" t="s">
        <v>590</v>
      </c>
      <c r="H1352" s="18">
        <v>0</v>
      </c>
      <c r="I1352" s="18">
        <v>22154.2600</v>
      </c>
      <c r="J1352" s="18">
        <f ca="1">((J1351 + H1352) - I1352)</f>
        <v>0</v>
      </c>
      <c r="K1352" s="18">
        <v>0</v>
      </c>
      <c r="L1352" s="19">
        <v>0</v>
      </c>
      <c r="M1352" s="17"/>
    </row>
    <row r="1353" ht="10.95" customHeight="true" customFormat="true" s="9">
      <c r="A1353" s="16">
        <v>45688</v>
      </c>
      <c r="B1353" s="17" t="s">
        <v>730</v>
      </c>
      <c r="C1353" s="17" t="s">
        <v>731</v>
      </c>
      <c r="D1353" s="17" t="s">
        <v>732</v>
      </c>
      <c r="E1353" s="17" t="s">
        <v>339</v>
      </c>
      <c r="F1353" s="17" t="s">
        <v>735</v>
      </c>
      <c r="G1353" s="17" t="s">
        <v>591</v>
      </c>
      <c r="H1353" s="18">
        <v>0</v>
      </c>
      <c r="I1353" s="18">
        <v>226371.3600</v>
      </c>
      <c r="J1353" s="18">
        <f ca="1">((J1352 + H1353) - I1353)</f>
        <v>0</v>
      </c>
      <c r="K1353" s="18">
        <v>0</v>
      </c>
      <c r="L1353" s="19">
        <v>0</v>
      </c>
      <c r="M1353" s="17"/>
    </row>
    <row r="1354" ht="10.95" customHeight="true" customFormat="true" s="9">
      <c r="A1354" s="16">
        <v>45688</v>
      </c>
      <c r="B1354" s="17" t="s">
        <v>730</v>
      </c>
      <c r="C1354" s="17" t="s">
        <v>731</v>
      </c>
      <c r="D1354" s="17" t="s">
        <v>732</v>
      </c>
      <c r="E1354" s="17" t="s">
        <v>339</v>
      </c>
      <c r="F1354" s="17" t="s">
        <v>735</v>
      </c>
      <c r="G1354" s="17" t="s">
        <v>655</v>
      </c>
      <c r="H1354" s="18">
        <v>0</v>
      </c>
      <c r="I1354" s="18">
        <v>11852.4300</v>
      </c>
      <c r="J1354" s="18">
        <f ca="1">((J1353 + H1354) - I1354)</f>
        <v>0</v>
      </c>
      <c r="K1354" s="18">
        <v>0</v>
      </c>
      <c r="L1354" s="19">
        <v>0</v>
      </c>
      <c r="M1354" s="17"/>
    </row>
    <row r="1355" ht="10.95" customHeight="true" customFormat="true" s="9">
      <c r="A1355" s="16">
        <v>45688</v>
      </c>
      <c r="B1355" s="17" t="s">
        <v>730</v>
      </c>
      <c r="C1355" s="17" t="s">
        <v>731</v>
      </c>
      <c r="D1355" s="17" t="s">
        <v>732</v>
      </c>
      <c r="E1355" s="17" t="s">
        <v>339</v>
      </c>
      <c r="F1355" s="17" t="s">
        <v>735</v>
      </c>
      <c r="G1355" s="17" t="s">
        <v>561</v>
      </c>
      <c r="H1355" s="18">
        <v>0</v>
      </c>
      <c r="I1355" s="18">
        <v>178152.5200</v>
      </c>
      <c r="J1355" s="18">
        <f ca="1">((J1354 + H1355) - I1355)</f>
        <v>0</v>
      </c>
      <c r="K1355" s="18">
        <v>0</v>
      </c>
      <c r="L1355" s="19">
        <v>0</v>
      </c>
      <c r="M1355" s="17"/>
    </row>
    <row r="1356" ht="10.95" customHeight="true" customFormat="true" s="9">
      <c r="A1356" s="16">
        <v>45688</v>
      </c>
      <c r="B1356" s="17" t="s">
        <v>730</v>
      </c>
      <c r="C1356" s="17" t="s">
        <v>731</v>
      </c>
      <c r="D1356" s="17" t="s">
        <v>732</v>
      </c>
      <c r="E1356" s="17" t="s">
        <v>339</v>
      </c>
      <c r="F1356" s="17" t="s">
        <v>734</v>
      </c>
      <c r="G1356" s="17" t="s">
        <v>66</v>
      </c>
      <c r="H1356" s="18">
        <v>0</v>
      </c>
      <c r="I1356" s="18">
        <v>2750.0000</v>
      </c>
      <c r="J1356" s="18">
        <f ca="1">((J1355 + H1356) - I1356)</f>
        <v>0</v>
      </c>
      <c r="K1356" s="18">
        <v>0</v>
      </c>
      <c r="L1356" s="19">
        <v>0</v>
      </c>
      <c r="M1356" s="17"/>
    </row>
    <row r="1357" ht="10.95" customHeight="true" customFormat="true" s="9">
      <c r="A1357" s="16">
        <v>45689</v>
      </c>
      <c r="B1357" s="17" t="s">
        <v>730</v>
      </c>
      <c r="C1357" s="17" t="s">
        <v>731</v>
      </c>
      <c r="D1357" s="17" t="s">
        <v>732</v>
      </c>
      <c r="E1357" s="17" t="s">
        <v>339</v>
      </c>
      <c r="F1357" s="17" t="s">
        <v>733</v>
      </c>
      <c r="G1357" s="17" t="s">
        <v>38</v>
      </c>
      <c r="H1357" s="18">
        <v>0</v>
      </c>
      <c r="I1357" s="18">
        <v>2135.9800</v>
      </c>
      <c r="J1357" s="18">
        <f ca="1">((J1356 + H1357) - I1357)</f>
        <v>0</v>
      </c>
      <c r="K1357" s="18">
        <v>0</v>
      </c>
      <c r="L1357" s="19">
        <v>0</v>
      </c>
      <c r="M1357" s="17"/>
    </row>
    <row r="1358" ht="10.95" customHeight="true" customFormat="true" s="9">
      <c r="A1358" s="16">
        <v>45712</v>
      </c>
      <c r="B1358" s="17" t="s">
        <v>730</v>
      </c>
      <c r="C1358" s="17" t="s">
        <v>731</v>
      </c>
      <c r="D1358" s="17" t="s">
        <v>732</v>
      </c>
      <c r="E1358" s="17" t="s">
        <v>36</v>
      </c>
      <c r="F1358" s="17" t="s">
        <v>64</v>
      </c>
      <c r="G1358" s="17" t="s">
        <v>65</v>
      </c>
      <c r="H1358" s="18">
        <v>1135.9000</v>
      </c>
      <c r="I1358" s="18">
        <v>0</v>
      </c>
      <c r="J1358" s="18">
        <f ca="1">((J1357 + H1358) - I1358)</f>
        <v>0</v>
      </c>
      <c r="K1358" s="18">
        <v>0</v>
      </c>
      <c r="L1358" s="19">
        <v>0</v>
      </c>
      <c r="M1358" s="17"/>
    </row>
    <row r="1359" ht="10.95" customHeight="true" customFormat="true" s="9">
      <c r="A1359" s="16">
        <v>45714</v>
      </c>
      <c r="B1359" s="17" t="s">
        <v>730</v>
      </c>
      <c r="C1359" s="17" t="s">
        <v>731</v>
      </c>
      <c r="D1359" s="17" t="s">
        <v>732</v>
      </c>
      <c r="E1359" s="17" t="s">
        <v>36</v>
      </c>
      <c r="F1359" s="17" t="s">
        <v>37</v>
      </c>
      <c r="G1359" s="17" t="s">
        <v>38</v>
      </c>
      <c r="H1359" s="18">
        <v>2135.9800</v>
      </c>
      <c r="I1359" s="18">
        <v>0</v>
      </c>
      <c r="J1359" s="18">
        <f ca="1">((J1358 + H1359) - I1359)</f>
        <v>0</v>
      </c>
      <c r="K1359" s="18">
        <v>0</v>
      </c>
      <c r="L1359" s="19">
        <v>0</v>
      </c>
      <c r="M1359" s="17"/>
    </row>
    <row r="1360" ht="10.95" customHeight="true" customFormat="true" s="9">
      <c r="A1360" s="16">
        <v>45714</v>
      </c>
      <c r="B1360" s="17" t="s">
        <v>730</v>
      </c>
      <c r="C1360" s="17" t="s">
        <v>731</v>
      </c>
      <c r="D1360" s="17" t="s">
        <v>732</v>
      </c>
      <c r="E1360" s="17" t="s">
        <v>36</v>
      </c>
      <c r="F1360" s="17" t="s">
        <v>43</v>
      </c>
      <c r="G1360" s="17" t="s">
        <v>66</v>
      </c>
      <c r="H1360" s="18">
        <v>2750.0000</v>
      </c>
      <c r="I1360" s="18">
        <v>0</v>
      </c>
      <c r="J1360" s="18">
        <f ca="1">((J1359 + H1360) - I1360)</f>
        <v>0</v>
      </c>
      <c r="K1360" s="18">
        <v>0</v>
      </c>
      <c r="L1360" s="19">
        <v>0</v>
      </c>
      <c r="M1360" s="17"/>
    </row>
    <row r="1361" ht="10.95" customHeight="true" customFormat="true" s="9">
      <c r="A1361" s="16">
        <v>45716</v>
      </c>
      <c r="B1361" s="17" t="s">
        <v>730</v>
      </c>
      <c r="C1361" s="17" t="s">
        <v>731</v>
      </c>
      <c r="D1361" s="17" t="s">
        <v>732</v>
      </c>
      <c r="E1361" s="17" t="s">
        <v>339</v>
      </c>
      <c r="F1361" s="17" t="s">
        <v>739</v>
      </c>
      <c r="G1361" s="17" t="s">
        <v>65</v>
      </c>
      <c r="H1361" s="18">
        <v>0</v>
      </c>
      <c r="I1361" s="18">
        <v>1135.9000</v>
      </c>
      <c r="J1361" s="18">
        <f ca="1">((J1360 + H1361) - I1361)</f>
        <v>0</v>
      </c>
      <c r="K1361" s="18">
        <v>0</v>
      </c>
      <c r="L1361" s="19">
        <v>0</v>
      </c>
      <c r="M1361" s="17"/>
    </row>
    <row r="1362" ht="10.95" customHeight="true" customFormat="true" s="9">
      <c r="A1362" s="16">
        <v>45716</v>
      </c>
      <c r="B1362" s="17" t="s">
        <v>730</v>
      </c>
      <c r="C1362" s="17" t="s">
        <v>731</v>
      </c>
      <c r="D1362" s="17" t="s">
        <v>732</v>
      </c>
      <c r="E1362" s="17" t="s">
        <v>339</v>
      </c>
      <c r="F1362" s="17" t="s">
        <v>734</v>
      </c>
      <c r="G1362" s="17" t="s">
        <v>351</v>
      </c>
      <c r="H1362" s="18">
        <v>0</v>
      </c>
      <c r="I1362" s="18">
        <v>2750.0000</v>
      </c>
      <c r="J1362" s="18">
        <f ca="1">((J1361 + H1362) - I1362)</f>
        <v>0</v>
      </c>
      <c r="K1362" s="18">
        <v>0</v>
      </c>
      <c r="L1362" s="19">
        <v>0</v>
      </c>
      <c r="M1362" s="17"/>
    </row>
    <row r="1363" ht="10.95" customHeight="true" customFormat="true" s="9">
      <c r="A1363" s="16">
        <v>45716</v>
      </c>
      <c r="B1363" s="17" t="s">
        <v>730</v>
      </c>
      <c r="C1363" s="17" t="s">
        <v>731</v>
      </c>
      <c r="D1363" s="17" t="s">
        <v>732</v>
      </c>
      <c r="E1363" s="17" t="s">
        <v>339</v>
      </c>
      <c r="F1363" s="17" t="s">
        <v>735</v>
      </c>
      <c r="G1363" s="17" t="s">
        <v>449</v>
      </c>
      <c r="H1363" s="18">
        <v>0</v>
      </c>
      <c r="I1363" s="18">
        <v>19298.6500</v>
      </c>
      <c r="J1363" s="18">
        <f ca="1">((J1362 + H1363) - I1363)</f>
        <v>0</v>
      </c>
      <c r="K1363" s="18">
        <v>0</v>
      </c>
      <c r="L1363" s="19">
        <v>0</v>
      </c>
      <c r="M1363" s="17"/>
    </row>
    <row r="1364" ht="10.95" customHeight="true" customFormat="true" s="9">
      <c r="A1364" s="16">
        <v>45716</v>
      </c>
      <c r="B1364" s="17" t="s">
        <v>730</v>
      </c>
      <c r="C1364" s="17" t="s">
        <v>731</v>
      </c>
      <c r="D1364" s="17" t="s">
        <v>732</v>
      </c>
      <c r="E1364" s="17" t="s">
        <v>194</v>
      </c>
      <c r="F1364" s="17" t="s">
        <v>735</v>
      </c>
      <c r="G1364" s="17"/>
      <c r="H1364" s="18">
        <v>64328.8500</v>
      </c>
      <c r="I1364" s="18">
        <v>0</v>
      </c>
      <c r="J1364" s="18">
        <f ca="1">((J1363 + H1364) - I1364)</f>
        <v>0</v>
      </c>
      <c r="K1364" s="18">
        <v>0</v>
      </c>
      <c r="L1364" s="19">
        <v>0</v>
      </c>
      <c r="M1364" s="17"/>
    </row>
    <row r="1365" ht="10.95" customHeight="true" customFormat="true" s="9">
      <c r="A1365" s="16">
        <v>45717</v>
      </c>
      <c r="B1365" s="17" t="s">
        <v>730</v>
      </c>
      <c r="C1365" s="17" t="s">
        <v>731</v>
      </c>
      <c r="D1365" s="17" t="s">
        <v>732</v>
      </c>
      <c r="E1365" s="17" t="s">
        <v>339</v>
      </c>
      <c r="F1365" s="17" t="s">
        <v>733</v>
      </c>
      <c r="G1365" s="17" t="s">
        <v>38</v>
      </c>
      <c r="H1365" s="18">
        <v>0</v>
      </c>
      <c r="I1365" s="18">
        <v>2135.9800</v>
      </c>
      <c r="J1365" s="18">
        <f ca="1">((J1364 + H1365) - I1365)</f>
        <v>0</v>
      </c>
      <c r="K1365" s="18">
        <v>0</v>
      </c>
      <c r="L1365" s="19">
        <v>0</v>
      </c>
      <c r="M1365" s="17"/>
    </row>
    <row r="1366" ht="10.95" customHeight="true" customFormat="true" s="9">
      <c r="A1366" s="16">
        <v>45742</v>
      </c>
      <c r="B1366" s="17" t="s">
        <v>730</v>
      </c>
      <c r="C1366" s="17" t="s">
        <v>731</v>
      </c>
      <c r="D1366" s="17" t="s">
        <v>732</v>
      </c>
      <c r="E1366" s="17" t="s">
        <v>36</v>
      </c>
      <c r="F1366" s="17" t="s">
        <v>37</v>
      </c>
      <c r="G1366" s="17" t="s">
        <v>38</v>
      </c>
      <c r="H1366" s="18">
        <v>2135.9800</v>
      </c>
      <c r="I1366" s="18">
        <v>0</v>
      </c>
      <c r="J1366" s="18">
        <f ca="1">((J1365 + H1366) - I1366)</f>
        <v>0</v>
      </c>
      <c r="K1366" s="18">
        <v>0</v>
      </c>
      <c r="L1366" s="19">
        <v>0</v>
      </c>
      <c r="M1366" s="17"/>
    </row>
    <row r="1367" ht="10.95" customHeight="true" customFormat="true" s="9">
      <c r="A1367" s="16">
        <v>45747</v>
      </c>
      <c r="B1367" s="17" t="s">
        <v>730</v>
      </c>
      <c r="C1367" s="17" t="s">
        <v>731</v>
      </c>
      <c r="D1367" s="17" t="s">
        <v>732</v>
      </c>
      <c r="E1367" s="17" t="s">
        <v>339</v>
      </c>
      <c r="F1367" s="17" t="s">
        <v>735</v>
      </c>
      <c r="G1367" s="17" t="s">
        <v>450</v>
      </c>
      <c r="H1367" s="18">
        <v>0</v>
      </c>
      <c r="I1367" s="18">
        <v>19200.0000</v>
      </c>
      <c r="J1367" s="18">
        <f ca="1">((J1366 + H1367) - I1367)</f>
        <v>0</v>
      </c>
      <c r="K1367" s="18">
        <v>0</v>
      </c>
      <c r="L1367" s="19">
        <v>0</v>
      </c>
      <c r="M1367" s="17"/>
    </row>
    <row r="1368" ht="10.95" customHeight="true" customFormat="true" s="9">
      <c r="A1368" s="16">
        <v>45747</v>
      </c>
      <c r="B1368" s="17" t="s">
        <v>730</v>
      </c>
      <c r="C1368" s="17" t="s">
        <v>731</v>
      </c>
      <c r="D1368" s="17" t="s">
        <v>732</v>
      </c>
      <c r="E1368" s="17" t="s">
        <v>339</v>
      </c>
      <c r="F1368" s="17" t="s">
        <v>734</v>
      </c>
      <c r="G1368" s="17" t="s">
        <v>353</v>
      </c>
      <c r="H1368" s="18">
        <v>0</v>
      </c>
      <c r="I1368" s="18">
        <v>2750.0000</v>
      </c>
      <c r="J1368" s="18">
        <f ca="1">((J1367 + H1368) - I1368)</f>
        <v>0</v>
      </c>
      <c r="K1368" s="18">
        <v>0</v>
      </c>
      <c r="L1368" s="19">
        <v>0</v>
      </c>
      <c r="M1368" s="17"/>
    </row>
    <row r="1369" ht="10.95" customHeight="true" customFormat="true" s="9">
      <c r="A1369" s="16">
        <v>45747</v>
      </c>
      <c r="B1369" s="17" t="s">
        <v>730</v>
      </c>
      <c r="C1369" s="17" t="s">
        <v>731</v>
      </c>
      <c r="D1369" s="17" t="s">
        <v>732</v>
      </c>
      <c r="E1369" s="17"/>
      <c r="F1369" s="17" t="s">
        <v>23</v>
      </c>
      <c r="G1369" s="17"/>
      <c r="H1369" s="18">
        <v>0</v>
      </c>
      <c r="I1369" s="18">
        <v>96002.6100</v>
      </c>
      <c r="J1369" s="18">
        <f ca="1">((J1368 + H1369) - I1369)</f>
        <v>0</v>
      </c>
      <c r="K1369" s="18">
        <v>0</v>
      </c>
      <c r="L1369" s="19">
        <v>0</v>
      </c>
      <c r="M1369" s="17"/>
    </row>
    <row r="1370" ht="10.95" customHeight="true" customFormat="true" s="9">
      <c r="A1370" s="20" t="s">
        <v>740</v>
      </c>
      <c r="B1370" s="20"/>
      <c r="C1370" s="20"/>
      <c r="D1370" s="20"/>
      <c r="E1370" s="20"/>
      <c r="F1370" s="20"/>
      <c r="G1370" s="20"/>
      <c r="H1370" s="21">
        <f ca="1">SUM(H1227:H1369)</f>
        <v>0</v>
      </c>
      <c r="I1370" s="21">
        <f ca="1">SUM(I1227:I1369)</f>
        <v>0</v>
      </c>
      <c r="J1370" s="21">
        <f ca="1">J1369</f>
        <v>0</v>
      </c>
      <c r="K1370" s="21">
        <f ca="1">SUM(K1227:K1369)</f>
        <v>0</v>
      </c>
      <c r="L1370" s="20"/>
      <c r="M1370" s="20"/>
    </row>
    <row r="1371" ht="10.95" customHeight="true" customFormat="true" s="9">
      <c r="A1371" s="20" t="s">
        <v>25</v>
      </c>
      <c r="B1371" s="20"/>
      <c r="C1371" s="20"/>
      <c r="D1371" s="20"/>
      <c r="E1371" s="20"/>
      <c r="F1371" s="20"/>
      <c r="G1371" s="20"/>
      <c r="H1371" s="21">
        <v>0</v>
      </c>
      <c r="I1371" s="21">
        <v>607185.5500</v>
      </c>
      <c r="J1371" s="21">
        <v>0</v>
      </c>
      <c r="K1371" s="21">
        <v>0</v>
      </c>
      <c r="L1371" s="20"/>
      <c r="M1371" s="20"/>
    </row>
    <row r="1372" ht="10.95" customHeight="true" customFormat="true" s="9">
      <c r="A1372" s="10" t="s">
        <v>26</v>
      </c>
      <c r="B1372" s="10"/>
      <c r="C1372" s="10"/>
      <c r="D1372" s="10"/>
      <c r="E1372" s="10"/>
      <c r="F1372" s="10"/>
      <c r="G1372" s="10"/>
      <c r="H1372" s="11">
        <v>0</v>
      </c>
      <c r="I1372" s="11">
        <v>2074561.1700</v>
      </c>
      <c r="J1372" s="11">
        <f ca="1">J1369</f>
        <v>0</v>
      </c>
      <c r="K1372" s="11">
        <v>0</v>
      </c>
      <c r="L1372" s="10"/>
      <c r="M1372" s="10"/>
    </row>
    <row r="1373" ht="13.35" customHeight="true"/>
    <row r="1374" ht="12.1" customHeight="true" customFormat="true" s="5">
      <c r="A1374" s="8" t="s">
        <v>741</v>
      </c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</row>
    <row r="1375" ht="10.95" customHeight="true" customFormat="true" s="9">
      <c r="A1375" s="10" t="s">
        <v>17</v>
      </c>
      <c r="B1375" s="10"/>
      <c r="C1375" s="10"/>
      <c r="D1375" s="10"/>
      <c r="E1375" s="10"/>
      <c r="F1375" s="10"/>
      <c r="G1375" s="10"/>
      <c r="H1375" s="11">
        <v>0</v>
      </c>
      <c r="I1375" s="11">
        <v>2603.9800</v>
      </c>
      <c r="J1375" s="11">
        <f ca="1">(H1375 - I1375)</f>
        <v>0</v>
      </c>
      <c r="K1375" s="11">
        <v>0</v>
      </c>
      <c r="L1375" s="10"/>
      <c r="M1375" s="10"/>
    </row>
    <row r="1376" ht="10.95" customHeight="true" customFormat="true" s="9">
      <c r="A1376" s="12">
        <v>45399</v>
      </c>
      <c r="B1376" s="13" t="s">
        <v>742</v>
      </c>
      <c r="C1376" s="13" t="s">
        <v>731</v>
      </c>
      <c r="D1376" s="13" t="s">
        <v>743</v>
      </c>
      <c r="E1376" s="13" t="s">
        <v>29</v>
      </c>
      <c r="F1376" s="13" t="s">
        <v>31</v>
      </c>
      <c r="G1376" s="13"/>
      <c r="H1376" s="14">
        <v>2603.9800</v>
      </c>
      <c r="I1376" s="14">
        <v>0</v>
      </c>
      <c r="J1376" s="14">
        <f ca="1">((J1375 + H1376) - I1376)</f>
        <v>0</v>
      </c>
      <c r="K1376" s="14">
        <v>0</v>
      </c>
      <c r="L1376" s="15">
        <v>0</v>
      </c>
      <c r="M1376" s="13" t="s">
        <v>157</v>
      </c>
    </row>
    <row r="1377" ht="10.95" customHeight="true" customFormat="true" s="9">
      <c r="A1377" s="20" t="s">
        <v>744</v>
      </c>
      <c r="B1377" s="20"/>
      <c r="C1377" s="20"/>
      <c r="D1377" s="20"/>
      <c r="E1377" s="20"/>
      <c r="F1377" s="20"/>
      <c r="G1377" s="20"/>
      <c r="H1377" s="21">
        <f ca="1">H1376</f>
        <v>0</v>
      </c>
      <c r="I1377" s="21">
        <f ca="1">I1376</f>
        <v>0</v>
      </c>
      <c r="J1377" s="21">
        <f ca="1">J1376</f>
        <v>0</v>
      </c>
      <c r="K1377" s="21">
        <f ca="1">K1376</f>
        <v>0</v>
      </c>
      <c r="L1377" s="20"/>
      <c r="M1377" s="20"/>
    </row>
    <row r="1378" ht="10.95" customHeight="true" customFormat="true" s="9">
      <c r="A1378" s="20" t="s">
        <v>25</v>
      </c>
      <c r="B1378" s="20"/>
      <c r="C1378" s="20"/>
      <c r="D1378" s="20"/>
      <c r="E1378" s="20"/>
      <c r="F1378" s="20"/>
      <c r="G1378" s="20"/>
      <c r="H1378" s="21">
        <v>2603.9800</v>
      </c>
      <c r="I1378" s="21">
        <v>0</v>
      </c>
      <c r="J1378" s="21">
        <v>0</v>
      </c>
      <c r="K1378" s="21">
        <v>0</v>
      </c>
      <c r="L1378" s="20"/>
      <c r="M1378" s="20"/>
    </row>
    <row r="1379" ht="10.95" customHeight="true" customFormat="true" s="9">
      <c r="A1379" s="10" t="s">
        <v>26</v>
      </c>
      <c r="B1379" s="10"/>
      <c r="C1379" s="10"/>
      <c r="D1379" s="10"/>
      <c r="E1379" s="10"/>
      <c r="F1379" s="10"/>
      <c r="G1379" s="10"/>
      <c r="H1379" s="11">
        <v>0</v>
      </c>
      <c r="I1379" s="11">
        <v>0</v>
      </c>
      <c r="J1379" s="11">
        <f ca="1">J1376</f>
        <v>0</v>
      </c>
      <c r="K1379" s="11">
        <v>0</v>
      </c>
      <c r="L1379" s="10"/>
      <c r="M1379" s="10"/>
    </row>
    <row r="1380" ht="13.35" customHeight="true"/>
    <row r="1381" ht="12.1" customHeight="true" customFormat="true" s="5">
      <c r="A1381" s="8" t="s">
        <v>745</v>
      </c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</row>
    <row r="1382" ht="10.95" customHeight="true" customFormat="true" s="9">
      <c r="A1382" s="10" t="s">
        <v>17</v>
      </c>
      <c r="B1382" s="10"/>
      <c r="C1382" s="10"/>
      <c r="D1382" s="10"/>
      <c r="E1382" s="10"/>
      <c r="F1382" s="10"/>
      <c r="G1382" s="10"/>
      <c r="H1382" s="11">
        <v>0</v>
      </c>
      <c r="I1382" s="11">
        <v>0</v>
      </c>
      <c r="J1382" s="11">
        <f ca="1">(H1382 - I1382)</f>
        <v>0</v>
      </c>
      <c r="K1382" s="11">
        <v>0</v>
      </c>
      <c r="L1382" s="10"/>
      <c r="M1382" s="10"/>
    </row>
    <row r="1383" ht="10.95" customHeight="true" customFormat="true" s="9">
      <c r="A1383" s="12">
        <v>45747</v>
      </c>
      <c r="B1383" s="13" t="s">
        <v>746</v>
      </c>
      <c r="C1383" s="13" t="s">
        <v>731</v>
      </c>
      <c r="D1383" s="13" t="s">
        <v>747</v>
      </c>
      <c r="E1383" s="13" t="s">
        <v>154</v>
      </c>
      <c r="F1383" s="13" t="s">
        <v>416</v>
      </c>
      <c r="G1383" s="13" t="s">
        <v>417</v>
      </c>
      <c r="H1383" s="14">
        <v>0</v>
      </c>
      <c r="I1383" s="14">
        <v>12094.4100</v>
      </c>
      <c r="J1383" s="14">
        <f ca="1">((J1382 + H1383) - I1383)</f>
        <v>0</v>
      </c>
      <c r="K1383" s="14">
        <v>0</v>
      </c>
      <c r="L1383" s="15">
        <v>0</v>
      </c>
      <c r="M1383" s="13" t="s">
        <v>157</v>
      </c>
    </row>
    <row r="1384" ht="10.95" customHeight="true" customFormat="true" s="9">
      <c r="A1384" s="20" t="s">
        <v>748</v>
      </c>
      <c r="B1384" s="20"/>
      <c r="C1384" s="20"/>
      <c r="D1384" s="20"/>
      <c r="E1384" s="20"/>
      <c r="F1384" s="20"/>
      <c r="G1384" s="20"/>
      <c r="H1384" s="21">
        <f ca="1">H1383</f>
        <v>0</v>
      </c>
      <c r="I1384" s="21">
        <f ca="1">I1383</f>
        <v>0</v>
      </c>
      <c r="J1384" s="21">
        <f ca="1">J1383</f>
        <v>0</v>
      </c>
      <c r="K1384" s="21">
        <f ca="1">K1383</f>
        <v>0</v>
      </c>
      <c r="L1384" s="20"/>
      <c r="M1384" s="20"/>
    </row>
    <row r="1385" ht="10.95" customHeight="true" customFormat="true" s="9">
      <c r="A1385" s="20" t="s">
        <v>25</v>
      </c>
      <c r="B1385" s="20"/>
      <c r="C1385" s="20"/>
      <c r="D1385" s="20"/>
      <c r="E1385" s="20"/>
      <c r="F1385" s="20"/>
      <c r="G1385" s="20"/>
      <c r="H1385" s="21">
        <v>0</v>
      </c>
      <c r="I1385" s="21">
        <v>12094.4100</v>
      </c>
      <c r="J1385" s="21">
        <v>0</v>
      </c>
      <c r="K1385" s="21">
        <v>0</v>
      </c>
      <c r="L1385" s="20"/>
      <c r="M1385" s="20"/>
    </row>
    <row r="1386" ht="10.95" customHeight="true" customFormat="true" s="9">
      <c r="A1386" s="10" t="s">
        <v>26</v>
      </c>
      <c r="B1386" s="10"/>
      <c r="C1386" s="10"/>
      <c r="D1386" s="10"/>
      <c r="E1386" s="10"/>
      <c r="F1386" s="10"/>
      <c r="G1386" s="10"/>
      <c r="H1386" s="11">
        <v>0</v>
      </c>
      <c r="I1386" s="11">
        <v>12094.4100</v>
      </c>
      <c r="J1386" s="11">
        <f ca="1">J1383</f>
        <v>0</v>
      </c>
      <c r="K1386" s="11">
        <v>0</v>
      </c>
      <c r="L1386" s="10"/>
      <c r="M1386" s="10"/>
    </row>
    <row r="1387" ht="13.35" customHeight="true"/>
    <row r="1388" ht="12.1" customHeight="true" customFormat="true" s="5">
      <c r="A1388" s="8" t="s">
        <v>749</v>
      </c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</row>
    <row r="1389" ht="10.95" customHeight="true" customFormat="true" s="9">
      <c r="A1389" s="10" t="s">
        <v>17</v>
      </c>
      <c r="B1389" s="10"/>
      <c r="C1389" s="10"/>
      <c r="D1389" s="10"/>
      <c r="E1389" s="10"/>
      <c r="F1389" s="10"/>
      <c r="G1389" s="10"/>
      <c r="H1389" s="11">
        <v>0</v>
      </c>
      <c r="I1389" s="11">
        <v>0</v>
      </c>
      <c r="J1389" s="11">
        <f ca="1">(H1389 - I1389)</f>
        <v>0</v>
      </c>
      <c r="K1389" s="11">
        <v>0</v>
      </c>
      <c r="L1389" s="10"/>
      <c r="M1389" s="10"/>
    </row>
    <row r="1390" ht="10.95" customHeight="true" customFormat="true" s="9">
      <c r="A1390" s="12">
        <v>45409</v>
      </c>
      <c r="B1390" s="13" t="s">
        <v>750</v>
      </c>
      <c r="C1390" s="13" t="s">
        <v>731</v>
      </c>
      <c r="D1390" s="13" t="s">
        <v>751</v>
      </c>
      <c r="E1390" s="13" t="s">
        <v>465</v>
      </c>
      <c r="F1390" s="13" t="s">
        <v>751</v>
      </c>
      <c r="G1390" s="13" t="s">
        <v>467</v>
      </c>
      <c r="H1390" s="14">
        <v>0</v>
      </c>
      <c r="I1390" s="14">
        <v>19439.6000</v>
      </c>
      <c r="J1390" s="14">
        <f ca="1">((J1389 + H1390) - I1390)</f>
        <v>0</v>
      </c>
      <c r="K1390" s="14">
        <v>0</v>
      </c>
      <c r="L1390" s="15">
        <v>0</v>
      </c>
      <c r="M1390" s="13" t="s">
        <v>157</v>
      </c>
    </row>
    <row r="1391" ht="10.95" customHeight="true" customFormat="true" s="9">
      <c r="A1391" s="16">
        <v>45409</v>
      </c>
      <c r="B1391" s="17" t="s">
        <v>750</v>
      </c>
      <c r="C1391" s="17" t="s">
        <v>731</v>
      </c>
      <c r="D1391" s="17" t="s">
        <v>751</v>
      </c>
      <c r="E1391" s="17" t="s">
        <v>29</v>
      </c>
      <c r="F1391" s="17" t="s">
        <v>752</v>
      </c>
      <c r="G1391" s="17"/>
      <c r="H1391" s="18">
        <v>10561.6000</v>
      </c>
      <c r="I1391" s="18">
        <v>0</v>
      </c>
      <c r="J1391" s="18">
        <f ca="1">((J1390 + H1391) - I1391)</f>
        <v>0</v>
      </c>
      <c r="K1391" s="18">
        <v>0</v>
      </c>
      <c r="L1391" s="19">
        <v>0</v>
      </c>
      <c r="M1391" s="17" t="s">
        <v>157</v>
      </c>
    </row>
    <row r="1392" ht="10.95" customHeight="true" customFormat="true" s="9">
      <c r="A1392" s="16">
        <v>45409</v>
      </c>
      <c r="B1392" s="17" t="s">
        <v>750</v>
      </c>
      <c r="C1392" s="17" t="s">
        <v>731</v>
      </c>
      <c r="D1392" s="17" t="s">
        <v>751</v>
      </c>
      <c r="E1392" s="17" t="s">
        <v>29</v>
      </c>
      <c r="F1392" s="17" t="s">
        <v>753</v>
      </c>
      <c r="G1392" s="17"/>
      <c r="H1392" s="18">
        <v>4117.0000</v>
      </c>
      <c r="I1392" s="18">
        <v>0</v>
      </c>
      <c r="J1392" s="18">
        <f ca="1">((J1391 + H1392) - I1392)</f>
        <v>0</v>
      </c>
      <c r="K1392" s="18">
        <v>0</v>
      </c>
      <c r="L1392" s="19">
        <v>0</v>
      </c>
      <c r="M1392" s="17" t="s">
        <v>157</v>
      </c>
    </row>
    <row r="1393" ht="10.95" customHeight="true" customFormat="true" s="9">
      <c r="A1393" s="16">
        <v>45409</v>
      </c>
      <c r="B1393" s="17" t="s">
        <v>750</v>
      </c>
      <c r="C1393" s="17" t="s">
        <v>731</v>
      </c>
      <c r="D1393" s="17" t="s">
        <v>751</v>
      </c>
      <c r="E1393" s="17" t="s">
        <v>29</v>
      </c>
      <c r="F1393" s="17" t="s">
        <v>754</v>
      </c>
      <c r="G1393" s="17"/>
      <c r="H1393" s="18">
        <v>4761.0000</v>
      </c>
      <c r="I1393" s="18">
        <v>0</v>
      </c>
      <c r="J1393" s="18">
        <f ca="1">((J1392 + H1393) - I1393)</f>
        <v>0</v>
      </c>
      <c r="K1393" s="18">
        <v>0</v>
      </c>
      <c r="L1393" s="19">
        <v>0</v>
      </c>
      <c r="M1393" s="17" t="s">
        <v>157</v>
      </c>
    </row>
    <row r="1394" ht="10.95" customHeight="true" customFormat="true" s="9">
      <c r="A1394" s="16">
        <v>45439</v>
      </c>
      <c r="B1394" s="17" t="s">
        <v>750</v>
      </c>
      <c r="C1394" s="17" t="s">
        <v>731</v>
      </c>
      <c r="D1394" s="17" t="s">
        <v>751</v>
      </c>
      <c r="E1394" s="17" t="s">
        <v>29</v>
      </c>
      <c r="F1394" s="17" t="s">
        <v>752</v>
      </c>
      <c r="G1394" s="17"/>
      <c r="H1394" s="18">
        <v>10571.6100</v>
      </c>
      <c r="I1394" s="18">
        <v>0</v>
      </c>
      <c r="J1394" s="18">
        <f ca="1">((J1393 + H1394) - I1394)</f>
        <v>0</v>
      </c>
      <c r="K1394" s="18">
        <v>0</v>
      </c>
      <c r="L1394" s="19">
        <v>0</v>
      </c>
      <c r="M1394" s="17" t="s">
        <v>157</v>
      </c>
    </row>
    <row r="1395" ht="10.95" customHeight="true" customFormat="true" s="9">
      <c r="A1395" s="16">
        <v>45439</v>
      </c>
      <c r="B1395" s="17" t="s">
        <v>750</v>
      </c>
      <c r="C1395" s="17" t="s">
        <v>731</v>
      </c>
      <c r="D1395" s="17" t="s">
        <v>751</v>
      </c>
      <c r="E1395" s="17" t="s">
        <v>29</v>
      </c>
      <c r="F1395" s="17" t="s">
        <v>754</v>
      </c>
      <c r="G1395" s="17"/>
      <c r="H1395" s="18">
        <v>4761.0000</v>
      </c>
      <c r="I1395" s="18">
        <v>0</v>
      </c>
      <c r="J1395" s="18">
        <f ca="1">((J1394 + H1395) - I1395)</f>
        <v>0</v>
      </c>
      <c r="K1395" s="18">
        <v>0</v>
      </c>
      <c r="L1395" s="19">
        <v>0</v>
      </c>
      <c r="M1395" s="17" t="s">
        <v>157</v>
      </c>
    </row>
    <row r="1396" ht="10.95" customHeight="true" customFormat="true" s="9">
      <c r="A1396" s="16">
        <v>45439</v>
      </c>
      <c r="B1396" s="17" t="s">
        <v>750</v>
      </c>
      <c r="C1396" s="17" t="s">
        <v>731</v>
      </c>
      <c r="D1396" s="17" t="s">
        <v>751</v>
      </c>
      <c r="E1396" s="17" t="s">
        <v>29</v>
      </c>
      <c r="F1396" s="17" t="s">
        <v>753</v>
      </c>
      <c r="G1396" s="17"/>
      <c r="H1396" s="18">
        <v>4117.0000</v>
      </c>
      <c r="I1396" s="18">
        <v>0</v>
      </c>
      <c r="J1396" s="18">
        <f ca="1">((J1395 + H1396) - I1396)</f>
        <v>0</v>
      </c>
      <c r="K1396" s="18">
        <v>0</v>
      </c>
      <c r="L1396" s="19">
        <v>0</v>
      </c>
      <c r="M1396" s="17" t="s">
        <v>157</v>
      </c>
    </row>
    <row r="1397" ht="10.95" customHeight="true" customFormat="true" s="9">
      <c r="A1397" s="16">
        <v>45440</v>
      </c>
      <c r="B1397" s="17" t="s">
        <v>750</v>
      </c>
      <c r="C1397" s="17" t="s">
        <v>731</v>
      </c>
      <c r="D1397" s="17" t="s">
        <v>751</v>
      </c>
      <c r="E1397" s="17" t="s">
        <v>465</v>
      </c>
      <c r="F1397" s="17" t="s">
        <v>751</v>
      </c>
      <c r="G1397" s="17" t="s">
        <v>468</v>
      </c>
      <c r="H1397" s="18">
        <v>0</v>
      </c>
      <c r="I1397" s="18">
        <v>19449.6100</v>
      </c>
      <c r="J1397" s="18">
        <f ca="1">((J1396 + H1397) - I1397)</f>
        <v>0</v>
      </c>
      <c r="K1397" s="18">
        <v>0</v>
      </c>
      <c r="L1397" s="19">
        <v>0</v>
      </c>
      <c r="M1397" s="17" t="s">
        <v>157</v>
      </c>
    </row>
    <row r="1398" ht="10.95" customHeight="true" customFormat="true" s="9">
      <c r="A1398" s="16">
        <v>45467</v>
      </c>
      <c r="B1398" s="17" t="s">
        <v>750</v>
      </c>
      <c r="C1398" s="17" t="s">
        <v>731</v>
      </c>
      <c r="D1398" s="17" t="s">
        <v>751</v>
      </c>
      <c r="E1398" s="17" t="s">
        <v>29</v>
      </c>
      <c r="F1398" s="17" t="s">
        <v>754</v>
      </c>
      <c r="G1398" s="17"/>
      <c r="H1398" s="18">
        <v>4761.0000</v>
      </c>
      <c r="I1398" s="18">
        <v>0</v>
      </c>
      <c r="J1398" s="18">
        <f ca="1">((J1397 + H1398) - I1398)</f>
        <v>0</v>
      </c>
      <c r="K1398" s="18">
        <v>0</v>
      </c>
      <c r="L1398" s="19">
        <v>0</v>
      </c>
      <c r="M1398" s="17" t="s">
        <v>157</v>
      </c>
    </row>
    <row r="1399" ht="10.95" customHeight="true" customFormat="true" s="9">
      <c r="A1399" s="16">
        <v>45467</v>
      </c>
      <c r="B1399" s="17" t="s">
        <v>750</v>
      </c>
      <c r="C1399" s="17" t="s">
        <v>731</v>
      </c>
      <c r="D1399" s="17" t="s">
        <v>751</v>
      </c>
      <c r="E1399" s="17" t="s">
        <v>29</v>
      </c>
      <c r="F1399" s="17" t="s">
        <v>753</v>
      </c>
      <c r="G1399" s="17"/>
      <c r="H1399" s="18">
        <v>4117.0000</v>
      </c>
      <c r="I1399" s="18">
        <v>0</v>
      </c>
      <c r="J1399" s="18">
        <f ca="1">((J1398 + H1399) - I1399)</f>
        <v>0</v>
      </c>
      <c r="K1399" s="18">
        <v>0</v>
      </c>
      <c r="L1399" s="19">
        <v>0</v>
      </c>
      <c r="M1399" s="17" t="s">
        <v>157</v>
      </c>
    </row>
    <row r="1400" ht="10.95" customHeight="true" customFormat="true" s="9">
      <c r="A1400" s="16">
        <v>45467</v>
      </c>
      <c r="B1400" s="17" t="s">
        <v>750</v>
      </c>
      <c r="C1400" s="17" t="s">
        <v>731</v>
      </c>
      <c r="D1400" s="17" t="s">
        <v>751</v>
      </c>
      <c r="E1400" s="17" t="s">
        <v>29</v>
      </c>
      <c r="F1400" s="17" t="s">
        <v>752</v>
      </c>
      <c r="G1400" s="17"/>
      <c r="H1400" s="18">
        <v>11789.6500</v>
      </c>
      <c r="I1400" s="18">
        <v>0</v>
      </c>
      <c r="J1400" s="18">
        <f ca="1">((J1399 + H1400) - I1400)</f>
        <v>0</v>
      </c>
      <c r="K1400" s="18">
        <v>0</v>
      </c>
      <c r="L1400" s="19">
        <v>0</v>
      </c>
      <c r="M1400" s="17" t="s">
        <v>157</v>
      </c>
    </row>
    <row r="1401" ht="10.95" customHeight="true" customFormat="true" s="9">
      <c r="A1401" s="16">
        <v>45470</v>
      </c>
      <c r="B1401" s="17" t="s">
        <v>750</v>
      </c>
      <c r="C1401" s="17" t="s">
        <v>731</v>
      </c>
      <c r="D1401" s="17" t="s">
        <v>751</v>
      </c>
      <c r="E1401" s="17" t="s">
        <v>465</v>
      </c>
      <c r="F1401" s="17" t="s">
        <v>751</v>
      </c>
      <c r="G1401" s="17" t="s">
        <v>469</v>
      </c>
      <c r="H1401" s="18">
        <v>0</v>
      </c>
      <c r="I1401" s="18">
        <v>20667.6500</v>
      </c>
      <c r="J1401" s="18">
        <f ca="1">((J1400 + H1401) - I1401)</f>
        <v>0</v>
      </c>
      <c r="K1401" s="18">
        <v>0</v>
      </c>
      <c r="L1401" s="19">
        <v>0</v>
      </c>
      <c r="M1401" s="17" t="s">
        <v>157</v>
      </c>
    </row>
    <row r="1402" ht="10.95" customHeight="true" customFormat="true" s="9">
      <c r="A1402" s="16">
        <v>45498</v>
      </c>
      <c r="B1402" s="17" t="s">
        <v>750</v>
      </c>
      <c r="C1402" s="17" t="s">
        <v>731</v>
      </c>
      <c r="D1402" s="17" t="s">
        <v>751</v>
      </c>
      <c r="E1402" s="17" t="s">
        <v>29</v>
      </c>
      <c r="F1402" s="17" t="s">
        <v>754</v>
      </c>
      <c r="G1402" s="17"/>
      <c r="H1402" s="18">
        <v>4930.0000</v>
      </c>
      <c r="I1402" s="18">
        <v>0</v>
      </c>
      <c r="J1402" s="18">
        <f ca="1">((J1401 + H1402) - I1402)</f>
        <v>0</v>
      </c>
      <c r="K1402" s="18">
        <v>0</v>
      </c>
      <c r="L1402" s="19">
        <v>0</v>
      </c>
      <c r="M1402" s="17" t="s">
        <v>157</v>
      </c>
    </row>
    <row r="1403" ht="10.95" customHeight="true" customFormat="true" s="9">
      <c r="A1403" s="16">
        <v>45498</v>
      </c>
      <c r="B1403" s="17" t="s">
        <v>750</v>
      </c>
      <c r="C1403" s="17" t="s">
        <v>731</v>
      </c>
      <c r="D1403" s="17" t="s">
        <v>751</v>
      </c>
      <c r="E1403" s="17" t="s">
        <v>29</v>
      </c>
      <c r="F1403" s="17" t="s">
        <v>752</v>
      </c>
      <c r="G1403" s="17"/>
      <c r="H1403" s="18">
        <v>10895.6100</v>
      </c>
      <c r="I1403" s="18">
        <v>0</v>
      </c>
      <c r="J1403" s="18">
        <f ca="1">((J1402 + H1403) - I1403)</f>
        <v>0</v>
      </c>
      <c r="K1403" s="18">
        <v>0</v>
      </c>
      <c r="L1403" s="19">
        <v>0</v>
      </c>
      <c r="M1403" s="17" t="s">
        <v>157</v>
      </c>
    </row>
    <row r="1404" ht="10.95" customHeight="true" customFormat="true" s="9">
      <c r="A1404" s="16">
        <v>45498</v>
      </c>
      <c r="B1404" s="17" t="s">
        <v>750</v>
      </c>
      <c r="C1404" s="17" t="s">
        <v>731</v>
      </c>
      <c r="D1404" s="17" t="s">
        <v>751</v>
      </c>
      <c r="E1404" s="17" t="s">
        <v>29</v>
      </c>
      <c r="F1404" s="17" t="s">
        <v>753</v>
      </c>
      <c r="G1404" s="17"/>
      <c r="H1404" s="18">
        <v>4217.0000</v>
      </c>
      <c r="I1404" s="18">
        <v>0</v>
      </c>
      <c r="J1404" s="18">
        <f ca="1">((J1403 + H1404) - I1404)</f>
        <v>0</v>
      </c>
      <c r="K1404" s="18">
        <v>0</v>
      </c>
      <c r="L1404" s="19">
        <v>0</v>
      </c>
      <c r="M1404" s="17" t="s">
        <v>157</v>
      </c>
    </row>
    <row r="1405" ht="10.95" customHeight="true" customFormat="true" s="9">
      <c r="A1405" s="16">
        <v>45501</v>
      </c>
      <c r="B1405" s="17" t="s">
        <v>750</v>
      </c>
      <c r="C1405" s="17" t="s">
        <v>731</v>
      </c>
      <c r="D1405" s="17" t="s">
        <v>751</v>
      </c>
      <c r="E1405" s="17" t="s">
        <v>465</v>
      </c>
      <c r="F1405" s="17" t="s">
        <v>751</v>
      </c>
      <c r="G1405" s="17" t="s">
        <v>470</v>
      </c>
      <c r="H1405" s="18">
        <v>0</v>
      </c>
      <c r="I1405" s="18">
        <v>20042.6100</v>
      </c>
      <c r="J1405" s="18">
        <f ca="1">((J1404 + H1405) - I1405)</f>
        <v>0</v>
      </c>
      <c r="K1405" s="18">
        <v>0</v>
      </c>
      <c r="L1405" s="19">
        <v>0</v>
      </c>
      <c r="M1405" s="17" t="s">
        <v>157</v>
      </c>
    </row>
    <row r="1406" ht="10.95" customHeight="true" customFormat="true" s="9">
      <c r="A1406" s="16">
        <v>45530</v>
      </c>
      <c r="B1406" s="17" t="s">
        <v>750</v>
      </c>
      <c r="C1406" s="17" t="s">
        <v>731</v>
      </c>
      <c r="D1406" s="17" t="s">
        <v>751</v>
      </c>
      <c r="E1406" s="17" t="s">
        <v>29</v>
      </c>
      <c r="F1406" s="17" t="s">
        <v>755</v>
      </c>
      <c r="G1406" s="17" t="s">
        <v>53</v>
      </c>
      <c r="H1406" s="18">
        <v>4930.0000</v>
      </c>
      <c r="I1406" s="18">
        <v>0</v>
      </c>
      <c r="J1406" s="18">
        <f ca="1">((J1405 + H1406) - I1406)</f>
        <v>0</v>
      </c>
      <c r="K1406" s="18">
        <v>0</v>
      </c>
      <c r="L1406" s="19">
        <v>0</v>
      </c>
      <c r="M1406" s="17" t="s">
        <v>157</v>
      </c>
    </row>
    <row r="1407" ht="10.95" customHeight="true" customFormat="true" s="9">
      <c r="A1407" s="16">
        <v>45530</v>
      </c>
      <c r="B1407" s="17" t="s">
        <v>750</v>
      </c>
      <c r="C1407" s="17" t="s">
        <v>731</v>
      </c>
      <c r="D1407" s="17" t="s">
        <v>751</v>
      </c>
      <c r="E1407" s="17" t="s">
        <v>29</v>
      </c>
      <c r="F1407" s="17" t="s">
        <v>756</v>
      </c>
      <c r="G1407" s="17" t="s">
        <v>53</v>
      </c>
      <c r="H1407" s="18">
        <v>10895.6100</v>
      </c>
      <c r="I1407" s="18">
        <v>0</v>
      </c>
      <c r="J1407" s="18">
        <f ca="1">((J1406 + H1407) - I1407)</f>
        <v>0</v>
      </c>
      <c r="K1407" s="18">
        <v>0</v>
      </c>
      <c r="L1407" s="19">
        <v>0</v>
      </c>
      <c r="M1407" s="17" t="s">
        <v>157</v>
      </c>
    </row>
    <row r="1408" ht="10.95" customHeight="true" customFormat="true" s="9">
      <c r="A1408" s="16">
        <v>45530</v>
      </c>
      <c r="B1408" s="17" t="s">
        <v>750</v>
      </c>
      <c r="C1408" s="17" t="s">
        <v>731</v>
      </c>
      <c r="D1408" s="17" t="s">
        <v>751</v>
      </c>
      <c r="E1408" s="17" t="s">
        <v>29</v>
      </c>
      <c r="F1408" s="17" t="s">
        <v>757</v>
      </c>
      <c r="G1408" s="17" t="s">
        <v>53</v>
      </c>
      <c r="H1408" s="18">
        <v>4217.0000</v>
      </c>
      <c r="I1408" s="18">
        <v>0</v>
      </c>
      <c r="J1408" s="18">
        <f ca="1">((J1407 + H1408) - I1408)</f>
        <v>0</v>
      </c>
      <c r="K1408" s="18">
        <v>0</v>
      </c>
      <c r="L1408" s="19">
        <v>0</v>
      </c>
      <c r="M1408" s="17" t="s">
        <v>157</v>
      </c>
    </row>
    <row r="1409" ht="10.95" customHeight="true" customFormat="true" s="9">
      <c r="A1409" s="16">
        <v>45532</v>
      </c>
      <c r="B1409" s="17" t="s">
        <v>750</v>
      </c>
      <c r="C1409" s="17" t="s">
        <v>731</v>
      </c>
      <c r="D1409" s="17" t="s">
        <v>751</v>
      </c>
      <c r="E1409" s="17" t="s">
        <v>465</v>
      </c>
      <c r="F1409" s="17" t="s">
        <v>751</v>
      </c>
      <c r="G1409" s="17" t="s">
        <v>471</v>
      </c>
      <c r="H1409" s="18">
        <v>0</v>
      </c>
      <c r="I1409" s="18">
        <v>20042.6100</v>
      </c>
      <c r="J1409" s="18">
        <f ca="1">((J1408 + H1409) - I1409)</f>
        <v>0</v>
      </c>
      <c r="K1409" s="18">
        <v>0</v>
      </c>
      <c r="L1409" s="19">
        <v>0</v>
      </c>
      <c r="M1409" s="17" t="s">
        <v>157</v>
      </c>
    </row>
    <row r="1410" ht="10.95" customHeight="true" customFormat="true" s="9">
      <c r="A1410" s="16">
        <v>45560</v>
      </c>
      <c r="B1410" s="17" t="s">
        <v>750</v>
      </c>
      <c r="C1410" s="17" t="s">
        <v>731</v>
      </c>
      <c r="D1410" s="17" t="s">
        <v>751</v>
      </c>
      <c r="E1410" s="17" t="s">
        <v>29</v>
      </c>
      <c r="F1410" s="17" t="s">
        <v>755</v>
      </c>
      <c r="G1410" s="17"/>
      <c r="H1410" s="18">
        <v>4930.0000</v>
      </c>
      <c r="I1410" s="18">
        <v>0</v>
      </c>
      <c r="J1410" s="18">
        <f ca="1">((J1409 + H1410) - I1410)</f>
        <v>0</v>
      </c>
      <c r="K1410" s="18">
        <v>0</v>
      </c>
      <c r="L1410" s="19">
        <v>0</v>
      </c>
      <c r="M1410" s="17" t="s">
        <v>157</v>
      </c>
    </row>
    <row r="1411" ht="10.95" customHeight="true" customFormat="true" s="9">
      <c r="A1411" s="16">
        <v>45560</v>
      </c>
      <c r="B1411" s="17" t="s">
        <v>750</v>
      </c>
      <c r="C1411" s="17" t="s">
        <v>731</v>
      </c>
      <c r="D1411" s="17" t="s">
        <v>751</v>
      </c>
      <c r="E1411" s="17" t="s">
        <v>29</v>
      </c>
      <c r="F1411" s="17" t="s">
        <v>756</v>
      </c>
      <c r="G1411" s="17"/>
      <c r="H1411" s="18">
        <v>10895.6100</v>
      </c>
      <c r="I1411" s="18">
        <v>0</v>
      </c>
      <c r="J1411" s="18">
        <f ca="1">((J1410 + H1411) - I1411)</f>
        <v>0</v>
      </c>
      <c r="K1411" s="18">
        <v>0</v>
      </c>
      <c r="L1411" s="19">
        <v>0</v>
      </c>
      <c r="M1411" s="17" t="s">
        <v>157</v>
      </c>
    </row>
    <row r="1412" ht="10.95" customHeight="true" customFormat="true" s="9">
      <c r="A1412" s="16">
        <v>45560</v>
      </c>
      <c r="B1412" s="17" t="s">
        <v>750</v>
      </c>
      <c r="C1412" s="17" t="s">
        <v>731</v>
      </c>
      <c r="D1412" s="17" t="s">
        <v>751</v>
      </c>
      <c r="E1412" s="17" t="s">
        <v>29</v>
      </c>
      <c r="F1412" s="17" t="s">
        <v>757</v>
      </c>
      <c r="G1412" s="17"/>
      <c r="H1412" s="18">
        <v>4217.0000</v>
      </c>
      <c r="I1412" s="18">
        <v>0</v>
      </c>
      <c r="J1412" s="18">
        <f ca="1">((J1411 + H1412) - I1412)</f>
        <v>0</v>
      </c>
      <c r="K1412" s="18">
        <v>0</v>
      </c>
      <c r="L1412" s="19">
        <v>0</v>
      </c>
      <c r="M1412" s="17" t="s">
        <v>157</v>
      </c>
    </row>
    <row r="1413" ht="10.95" customHeight="true" customFormat="true" s="9">
      <c r="A1413" s="16">
        <v>45562</v>
      </c>
      <c r="B1413" s="17" t="s">
        <v>750</v>
      </c>
      <c r="C1413" s="17" t="s">
        <v>731</v>
      </c>
      <c r="D1413" s="17" t="s">
        <v>751</v>
      </c>
      <c r="E1413" s="17" t="s">
        <v>465</v>
      </c>
      <c r="F1413" s="17" t="s">
        <v>751</v>
      </c>
      <c r="G1413" s="17" t="s">
        <v>472</v>
      </c>
      <c r="H1413" s="18">
        <v>0</v>
      </c>
      <c r="I1413" s="18">
        <v>20042.6100</v>
      </c>
      <c r="J1413" s="18">
        <f ca="1">((J1412 + H1413) - I1413)</f>
        <v>0</v>
      </c>
      <c r="K1413" s="18">
        <v>0</v>
      </c>
      <c r="L1413" s="19">
        <v>0</v>
      </c>
      <c r="M1413" s="17" t="s">
        <v>157</v>
      </c>
    </row>
    <row r="1414" ht="10.95" customHeight="true" customFormat="true" s="9">
      <c r="A1414" s="16">
        <v>45593</v>
      </c>
      <c r="B1414" s="17" t="s">
        <v>750</v>
      </c>
      <c r="C1414" s="17" t="s">
        <v>731</v>
      </c>
      <c r="D1414" s="17" t="s">
        <v>751</v>
      </c>
      <c r="E1414" s="17" t="s">
        <v>465</v>
      </c>
      <c r="F1414" s="17" t="s">
        <v>751</v>
      </c>
      <c r="G1414" s="17" t="s">
        <v>473</v>
      </c>
      <c r="H1414" s="18">
        <v>0</v>
      </c>
      <c r="I1414" s="18">
        <v>35869.8600</v>
      </c>
      <c r="J1414" s="18">
        <f ca="1">((J1413 + H1414) - I1414)</f>
        <v>0</v>
      </c>
      <c r="K1414" s="18">
        <v>0</v>
      </c>
      <c r="L1414" s="19">
        <v>0</v>
      </c>
      <c r="M1414" s="17" t="s">
        <v>157</v>
      </c>
    </row>
    <row r="1415" ht="10.95" customHeight="true" customFormat="true" s="9">
      <c r="A1415" s="16">
        <v>45594</v>
      </c>
      <c r="B1415" s="17" t="s">
        <v>750</v>
      </c>
      <c r="C1415" s="17" t="s">
        <v>731</v>
      </c>
      <c r="D1415" s="17" t="s">
        <v>751</v>
      </c>
      <c r="E1415" s="17" t="s">
        <v>29</v>
      </c>
      <c r="F1415" s="17" t="s">
        <v>755</v>
      </c>
      <c r="G1415" s="17"/>
      <c r="H1415" s="18">
        <v>7013.0000</v>
      </c>
      <c r="I1415" s="18">
        <v>0</v>
      </c>
      <c r="J1415" s="18">
        <f ca="1">((J1414 + H1415) - I1415)</f>
        <v>0</v>
      </c>
      <c r="K1415" s="18">
        <v>0</v>
      </c>
      <c r="L1415" s="19">
        <v>0</v>
      </c>
      <c r="M1415" s="17" t="s">
        <v>157</v>
      </c>
    </row>
    <row r="1416" ht="10.95" customHeight="true" customFormat="true" s="9">
      <c r="A1416" s="16">
        <v>45594</v>
      </c>
      <c r="B1416" s="17" t="s">
        <v>750</v>
      </c>
      <c r="C1416" s="17" t="s">
        <v>731</v>
      </c>
      <c r="D1416" s="17" t="s">
        <v>751</v>
      </c>
      <c r="E1416" s="17" t="s">
        <v>29</v>
      </c>
      <c r="F1416" s="17" t="s">
        <v>752</v>
      </c>
      <c r="G1416" s="17"/>
      <c r="H1416" s="18">
        <v>22051.6100</v>
      </c>
      <c r="I1416" s="18">
        <v>0</v>
      </c>
      <c r="J1416" s="18">
        <f ca="1">((J1415 + H1416) - I1416)</f>
        <v>0</v>
      </c>
      <c r="K1416" s="18">
        <v>0</v>
      </c>
      <c r="L1416" s="19">
        <v>0</v>
      </c>
      <c r="M1416" s="17" t="s">
        <v>157</v>
      </c>
    </row>
    <row r="1417" ht="10.95" customHeight="true" customFormat="true" s="9">
      <c r="A1417" s="16">
        <v>45594</v>
      </c>
      <c r="B1417" s="17" t="s">
        <v>750</v>
      </c>
      <c r="C1417" s="17" t="s">
        <v>731</v>
      </c>
      <c r="D1417" s="17" t="s">
        <v>751</v>
      </c>
      <c r="E1417" s="17" t="s">
        <v>29</v>
      </c>
      <c r="F1417" s="17" t="s">
        <v>757</v>
      </c>
      <c r="G1417" s="17"/>
      <c r="H1417" s="18">
        <v>6805.2500</v>
      </c>
      <c r="I1417" s="18">
        <v>0</v>
      </c>
      <c r="J1417" s="18">
        <f ca="1">((J1416 + H1417) - I1417)</f>
        <v>0</v>
      </c>
      <c r="K1417" s="18">
        <v>0</v>
      </c>
      <c r="L1417" s="19">
        <v>0</v>
      </c>
      <c r="M1417" s="17" t="s">
        <v>157</v>
      </c>
    </row>
    <row r="1418" ht="10.95" customHeight="true" customFormat="true" s="9">
      <c r="A1418" s="16">
        <v>45616</v>
      </c>
      <c r="B1418" s="17" t="s">
        <v>750</v>
      </c>
      <c r="C1418" s="17" t="s">
        <v>731</v>
      </c>
      <c r="D1418" s="17" t="s">
        <v>751</v>
      </c>
      <c r="E1418" s="17" t="s">
        <v>29</v>
      </c>
      <c r="F1418" s="17" t="s">
        <v>755</v>
      </c>
      <c r="G1418" s="17"/>
      <c r="H1418" s="18">
        <v>4930.0000</v>
      </c>
      <c r="I1418" s="18">
        <v>0</v>
      </c>
      <c r="J1418" s="18">
        <f ca="1">((J1417 + H1418) - I1418)</f>
        <v>0</v>
      </c>
      <c r="K1418" s="18">
        <v>0</v>
      </c>
      <c r="L1418" s="19">
        <v>0</v>
      </c>
      <c r="M1418" s="17" t="s">
        <v>157</v>
      </c>
    </row>
    <row r="1419" ht="10.95" customHeight="true" customFormat="true" s="9">
      <c r="A1419" s="16">
        <v>45616</v>
      </c>
      <c r="B1419" s="17" t="s">
        <v>750</v>
      </c>
      <c r="C1419" s="17" t="s">
        <v>731</v>
      </c>
      <c r="D1419" s="17" t="s">
        <v>751</v>
      </c>
      <c r="E1419" s="17" t="s">
        <v>29</v>
      </c>
      <c r="F1419" s="17" t="s">
        <v>756</v>
      </c>
      <c r="G1419" s="17"/>
      <c r="H1419" s="18">
        <v>10895.6100</v>
      </c>
      <c r="I1419" s="18">
        <v>0</v>
      </c>
      <c r="J1419" s="18">
        <f ca="1">((J1418 + H1419) - I1419)</f>
        <v>0</v>
      </c>
      <c r="K1419" s="18">
        <v>0</v>
      </c>
      <c r="L1419" s="19">
        <v>0</v>
      </c>
      <c r="M1419" s="17" t="s">
        <v>157</v>
      </c>
    </row>
    <row r="1420" ht="10.95" customHeight="true" customFormat="true" s="9">
      <c r="A1420" s="16">
        <v>45616</v>
      </c>
      <c r="B1420" s="17" t="s">
        <v>750</v>
      </c>
      <c r="C1420" s="17" t="s">
        <v>731</v>
      </c>
      <c r="D1420" s="17" t="s">
        <v>751</v>
      </c>
      <c r="E1420" s="17" t="s">
        <v>29</v>
      </c>
      <c r="F1420" s="17" t="s">
        <v>753</v>
      </c>
      <c r="G1420" s="17"/>
      <c r="H1420" s="18">
        <v>4735.2600</v>
      </c>
      <c r="I1420" s="18">
        <v>0</v>
      </c>
      <c r="J1420" s="18">
        <f ca="1">((J1419 + H1420) - I1420)</f>
        <v>0</v>
      </c>
      <c r="K1420" s="18">
        <v>0</v>
      </c>
      <c r="L1420" s="19">
        <v>0</v>
      </c>
      <c r="M1420" s="17" t="s">
        <v>157</v>
      </c>
    </row>
    <row r="1421" ht="10.95" customHeight="true" customFormat="true" s="9">
      <c r="A1421" s="16">
        <v>45623</v>
      </c>
      <c r="B1421" s="17" t="s">
        <v>750</v>
      </c>
      <c r="C1421" s="17" t="s">
        <v>731</v>
      </c>
      <c r="D1421" s="17" t="s">
        <v>751</v>
      </c>
      <c r="E1421" s="17" t="s">
        <v>465</v>
      </c>
      <c r="F1421" s="17" t="s">
        <v>751</v>
      </c>
      <c r="G1421" s="17" t="s">
        <v>474</v>
      </c>
      <c r="H1421" s="18">
        <v>0</v>
      </c>
      <c r="I1421" s="18">
        <v>20560.8700</v>
      </c>
      <c r="J1421" s="18">
        <f ca="1">((J1420 + H1421) - I1421)</f>
        <v>0</v>
      </c>
      <c r="K1421" s="18">
        <v>0</v>
      </c>
      <c r="L1421" s="19">
        <v>0</v>
      </c>
      <c r="M1421" s="17" t="s">
        <v>157</v>
      </c>
    </row>
    <row r="1422" ht="10.95" customHeight="true" customFormat="true" s="9">
      <c r="A1422" s="16">
        <v>45649</v>
      </c>
      <c r="B1422" s="17" t="s">
        <v>750</v>
      </c>
      <c r="C1422" s="17" t="s">
        <v>731</v>
      </c>
      <c r="D1422" s="17" t="s">
        <v>751</v>
      </c>
      <c r="E1422" s="17" t="s">
        <v>29</v>
      </c>
      <c r="F1422" s="17" t="s">
        <v>753</v>
      </c>
      <c r="G1422" s="17"/>
      <c r="H1422" s="18">
        <v>4735.2400</v>
      </c>
      <c r="I1422" s="18">
        <v>0</v>
      </c>
      <c r="J1422" s="18">
        <f ca="1">((J1421 + H1422) - I1422)</f>
        <v>0</v>
      </c>
      <c r="K1422" s="18">
        <v>0</v>
      </c>
      <c r="L1422" s="19">
        <v>0</v>
      </c>
      <c r="M1422" s="17" t="s">
        <v>157</v>
      </c>
    </row>
    <row r="1423" ht="10.95" customHeight="true" customFormat="true" s="9">
      <c r="A1423" s="16">
        <v>45649</v>
      </c>
      <c r="B1423" s="17" t="s">
        <v>750</v>
      </c>
      <c r="C1423" s="17" t="s">
        <v>731</v>
      </c>
      <c r="D1423" s="17" t="s">
        <v>751</v>
      </c>
      <c r="E1423" s="17" t="s">
        <v>29</v>
      </c>
      <c r="F1423" s="17" t="s">
        <v>755</v>
      </c>
      <c r="G1423" s="17"/>
      <c r="H1423" s="18">
        <v>4930.0000</v>
      </c>
      <c r="I1423" s="18">
        <v>0</v>
      </c>
      <c r="J1423" s="18">
        <f ca="1">((J1422 + H1423) - I1423)</f>
        <v>0</v>
      </c>
      <c r="K1423" s="18">
        <v>0</v>
      </c>
      <c r="L1423" s="19">
        <v>0</v>
      </c>
      <c r="M1423" s="17" t="s">
        <v>157</v>
      </c>
    </row>
    <row r="1424" ht="10.95" customHeight="true" customFormat="true" s="9">
      <c r="A1424" s="16">
        <v>45649</v>
      </c>
      <c r="B1424" s="17" t="s">
        <v>750</v>
      </c>
      <c r="C1424" s="17" t="s">
        <v>731</v>
      </c>
      <c r="D1424" s="17" t="s">
        <v>751</v>
      </c>
      <c r="E1424" s="17" t="s">
        <v>29</v>
      </c>
      <c r="F1424" s="17" t="s">
        <v>756</v>
      </c>
      <c r="G1424" s="17"/>
      <c r="H1424" s="18">
        <v>12079.4800</v>
      </c>
      <c r="I1424" s="18">
        <v>0</v>
      </c>
      <c r="J1424" s="18">
        <f ca="1">((J1423 + H1424) - I1424)</f>
        <v>0</v>
      </c>
      <c r="K1424" s="18">
        <v>0</v>
      </c>
      <c r="L1424" s="19">
        <v>0</v>
      </c>
      <c r="M1424" s="17" t="s">
        <v>157</v>
      </c>
    </row>
    <row r="1425" ht="10.95" customHeight="true" customFormat="true" s="9">
      <c r="A1425" s="16">
        <v>45654</v>
      </c>
      <c r="B1425" s="17" t="s">
        <v>750</v>
      </c>
      <c r="C1425" s="17" t="s">
        <v>731</v>
      </c>
      <c r="D1425" s="17" t="s">
        <v>751</v>
      </c>
      <c r="E1425" s="17" t="s">
        <v>465</v>
      </c>
      <c r="F1425" s="17" t="s">
        <v>751</v>
      </c>
      <c r="G1425" s="17" t="s">
        <v>475</v>
      </c>
      <c r="H1425" s="18">
        <v>0</v>
      </c>
      <c r="I1425" s="18">
        <v>21744.7200</v>
      </c>
      <c r="J1425" s="18">
        <f ca="1">((J1424 + H1425) - I1425)</f>
        <v>0</v>
      </c>
      <c r="K1425" s="18">
        <v>0</v>
      </c>
      <c r="L1425" s="19">
        <v>0</v>
      </c>
      <c r="M1425" s="17" t="s">
        <v>157</v>
      </c>
    </row>
    <row r="1426" ht="10.95" customHeight="true" customFormat="true" s="9">
      <c r="A1426" s="16">
        <v>45680</v>
      </c>
      <c r="B1426" s="17" t="s">
        <v>750</v>
      </c>
      <c r="C1426" s="17" t="s">
        <v>731</v>
      </c>
      <c r="D1426" s="17" t="s">
        <v>751</v>
      </c>
      <c r="E1426" s="17" t="s">
        <v>29</v>
      </c>
      <c r="F1426" s="17" t="s">
        <v>756</v>
      </c>
      <c r="G1426" s="17"/>
      <c r="H1426" s="18">
        <v>10895.6200</v>
      </c>
      <c r="I1426" s="18">
        <v>0</v>
      </c>
      <c r="J1426" s="18">
        <f ca="1">((J1425 + H1426) - I1426)</f>
        <v>0</v>
      </c>
      <c r="K1426" s="18">
        <v>0</v>
      </c>
      <c r="L1426" s="19">
        <v>0</v>
      </c>
      <c r="M1426" s="17" t="s">
        <v>157</v>
      </c>
    </row>
    <row r="1427" ht="10.95" customHeight="true" customFormat="true" s="9">
      <c r="A1427" s="16">
        <v>45680</v>
      </c>
      <c r="B1427" s="17" t="s">
        <v>750</v>
      </c>
      <c r="C1427" s="17" t="s">
        <v>731</v>
      </c>
      <c r="D1427" s="17" t="s">
        <v>751</v>
      </c>
      <c r="E1427" s="17" t="s">
        <v>29</v>
      </c>
      <c r="F1427" s="17" t="s">
        <v>755</v>
      </c>
      <c r="G1427" s="17"/>
      <c r="H1427" s="18">
        <v>4929.9900</v>
      </c>
      <c r="I1427" s="18">
        <v>0</v>
      </c>
      <c r="J1427" s="18">
        <f ca="1">((J1426 + H1427) - I1427)</f>
        <v>0</v>
      </c>
      <c r="K1427" s="18">
        <v>0</v>
      </c>
      <c r="L1427" s="19">
        <v>0</v>
      </c>
      <c r="M1427" s="17" t="s">
        <v>157</v>
      </c>
    </row>
    <row r="1428" ht="10.95" customHeight="true" customFormat="true" s="9">
      <c r="A1428" s="16">
        <v>45680</v>
      </c>
      <c r="B1428" s="17" t="s">
        <v>750</v>
      </c>
      <c r="C1428" s="17" t="s">
        <v>731</v>
      </c>
      <c r="D1428" s="17" t="s">
        <v>751</v>
      </c>
      <c r="E1428" s="17" t="s">
        <v>29</v>
      </c>
      <c r="F1428" s="17" t="s">
        <v>753</v>
      </c>
      <c r="G1428" s="17"/>
      <c r="H1428" s="18">
        <v>4735.2500</v>
      </c>
      <c r="I1428" s="18">
        <v>0</v>
      </c>
      <c r="J1428" s="18">
        <f ca="1">((J1427 + H1428) - I1428)</f>
        <v>0</v>
      </c>
      <c r="K1428" s="18">
        <v>0</v>
      </c>
      <c r="L1428" s="19">
        <v>0</v>
      </c>
      <c r="M1428" s="17" t="s">
        <v>157</v>
      </c>
    </row>
    <row r="1429" ht="10.95" customHeight="true" customFormat="true" s="9">
      <c r="A1429" s="16">
        <v>45685</v>
      </c>
      <c r="B1429" s="17" t="s">
        <v>750</v>
      </c>
      <c r="C1429" s="17" t="s">
        <v>731</v>
      </c>
      <c r="D1429" s="17" t="s">
        <v>751</v>
      </c>
      <c r="E1429" s="17" t="s">
        <v>465</v>
      </c>
      <c r="F1429" s="17" t="s">
        <v>751</v>
      </c>
      <c r="G1429" s="17" t="s">
        <v>476</v>
      </c>
      <c r="H1429" s="18">
        <v>0</v>
      </c>
      <c r="I1429" s="18">
        <v>20560.8600</v>
      </c>
      <c r="J1429" s="18">
        <f ca="1">((J1428 + H1429) - I1429)</f>
        <v>0</v>
      </c>
      <c r="K1429" s="18">
        <v>0</v>
      </c>
      <c r="L1429" s="19">
        <v>0</v>
      </c>
      <c r="M1429" s="17" t="s">
        <v>157</v>
      </c>
    </row>
    <row r="1430" ht="10.95" customHeight="true" customFormat="true" s="9">
      <c r="A1430" s="16">
        <v>45713</v>
      </c>
      <c r="B1430" s="17" t="s">
        <v>750</v>
      </c>
      <c r="C1430" s="17" t="s">
        <v>731</v>
      </c>
      <c r="D1430" s="17" t="s">
        <v>751</v>
      </c>
      <c r="E1430" s="17" t="s">
        <v>465</v>
      </c>
      <c r="F1430" s="17" t="s">
        <v>751</v>
      </c>
      <c r="G1430" s="17" t="s">
        <v>477</v>
      </c>
      <c r="H1430" s="18">
        <v>0</v>
      </c>
      <c r="I1430" s="18">
        <v>20450.7700</v>
      </c>
      <c r="J1430" s="18">
        <f ca="1">((J1429 + H1430) - I1430)</f>
        <v>0</v>
      </c>
      <c r="K1430" s="18">
        <v>0</v>
      </c>
      <c r="L1430" s="19">
        <v>0</v>
      </c>
      <c r="M1430" s="17" t="s">
        <v>157</v>
      </c>
    </row>
    <row r="1431" ht="10.95" customHeight="true" customFormat="true" s="9">
      <c r="A1431" s="16">
        <v>45713</v>
      </c>
      <c r="B1431" s="17" t="s">
        <v>750</v>
      </c>
      <c r="C1431" s="17" t="s">
        <v>731</v>
      </c>
      <c r="D1431" s="17" t="s">
        <v>751</v>
      </c>
      <c r="E1431" s="17" t="s">
        <v>29</v>
      </c>
      <c r="F1431" s="17" t="s">
        <v>753</v>
      </c>
      <c r="G1431" s="17"/>
      <c r="H1431" s="18">
        <v>4735.2500</v>
      </c>
      <c r="I1431" s="18">
        <v>0</v>
      </c>
      <c r="J1431" s="18">
        <f ca="1">((J1430 + H1431) - I1431)</f>
        <v>0</v>
      </c>
      <c r="K1431" s="18">
        <v>0</v>
      </c>
      <c r="L1431" s="19">
        <v>0</v>
      </c>
      <c r="M1431" s="17" t="s">
        <v>157</v>
      </c>
    </row>
    <row r="1432" ht="10.95" customHeight="true" customFormat="true" s="9">
      <c r="A1432" s="16">
        <v>45713</v>
      </c>
      <c r="B1432" s="17" t="s">
        <v>750</v>
      </c>
      <c r="C1432" s="17" t="s">
        <v>731</v>
      </c>
      <c r="D1432" s="17" t="s">
        <v>751</v>
      </c>
      <c r="E1432" s="17" t="s">
        <v>29</v>
      </c>
      <c r="F1432" s="17" t="s">
        <v>755</v>
      </c>
      <c r="G1432" s="17"/>
      <c r="H1432" s="18">
        <v>4930.0000</v>
      </c>
      <c r="I1432" s="18">
        <v>0</v>
      </c>
      <c r="J1432" s="18">
        <f ca="1">((J1431 + H1432) - I1432)</f>
        <v>0</v>
      </c>
      <c r="K1432" s="18">
        <v>0</v>
      </c>
      <c r="L1432" s="19">
        <v>0</v>
      </c>
      <c r="M1432" s="17" t="s">
        <v>157</v>
      </c>
    </row>
    <row r="1433" ht="10.95" customHeight="true" customFormat="true" s="9">
      <c r="A1433" s="16">
        <v>45713</v>
      </c>
      <c r="B1433" s="17" t="s">
        <v>750</v>
      </c>
      <c r="C1433" s="17" t="s">
        <v>731</v>
      </c>
      <c r="D1433" s="17" t="s">
        <v>751</v>
      </c>
      <c r="E1433" s="17" t="s">
        <v>29</v>
      </c>
      <c r="F1433" s="17" t="s">
        <v>756</v>
      </c>
      <c r="G1433" s="17"/>
      <c r="H1433" s="18">
        <v>10785.5200</v>
      </c>
      <c r="I1433" s="18">
        <v>0</v>
      </c>
      <c r="J1433" s="18">
        <f ca="1">((J1432 + H1433) - I1433)</f>
        <v>0</v>
      </c>
      <c r="K1433" s="18">
        <v>0</v>
      </c>
      <c r="L1433" s="19">
        <v>0</v>
      </c>
      <c r="M1433" s="17" t="s">
        <v>157</v>
      </c>
    </row>
    <row r="1434" ht="10.95" customHeight="true" customFormat="true" s="9">
      <c r="A1434" s="16">
        <v>45742</v>
      </c>
      <c r="B1434" s="17" t="s">
        <v>750</v>
      </c>
      <c r="C1434" s="17" t="s">
        <v>731</v>
      </c>
      <c r="D1434" s="17" t="s">
        <v>751</v>
      </c>
      <c r="E1434" s="17" t="s">
        <v>29</v>
      </c>
      <c r="F1434" s="17" t="s">
        <v>753</v>
      </c>
      <c r="G1434" s="17"/>
      <c r="H1434" s="18">
        <v>6366.2600</v>
      </c>
      <c r="I1434" s="18">
        <v>0</v>
      </c>
      <c r="J1434" s="18">
        <f ca="1">((J1433 + H1434) - I1434)</f>
        <v>0</v>
      </c>
      <c r="K1434" s="18">
        <v>0</v>
      </c>
      <c r="L1434" s="19">
        <v>0</v>
      </c>
      <c r="M1434" s="17" t="s">
        <v>157</v>
      </c>
    </row>
    <row r="1435" ht="10.95" customHeight="true" customFormat="true" s="9">
      <c r="A1435" s="16">
        <v>45742</v>
      </c>
      <c r="B1435" s="17" t="s">
        <v>750</v>
      </c>
      <c r="C1435" s="17" t="s">
        <v>731</v>
      </c>
      <c r="D1435" s="17" t="s">
        <v>751</v>
      </c>
      <c r="E1435" s="17" t="s">
        <v>29</v>
      </c>
      <c r="F1435" s="17" t="s">
        <v>755</v>
      </c>
      <c r="G1435" s="17"/>
      <c r="H1435" s="18">
        <v>6564.0000</v>
      </c>
      <c r="I1435" s="18">
        <v>0</v>
      </c>
      <c r="J1435" s="18">
        <f ca="1">((J1434 + H1435) - I1435)</f>
        <v>0</v>
      </c>
      <c r="K1435" s="18">
        <v>0</v>
      </c>
      <c r="L1435" s="19">
        <v>0</v>
      </c>
      <c r="M1435" s="17" t="s">
        <v>157</v>
      </c>
    </row>
    <row r="1436" ht="10.95" customHeight="true" customFormat="true" s="9">
      <c r="A1436" s="16">
        <v>45742</v>
      </c>
      <c r="B1436" s="17" t="s">
        <v>750</v>
      </c>
      <c r="C1436" s="17" t="s">
        <v>731</v>
      </c>
      <c r="D1436" s="17" t="s">
        <v>751</v>
      </c>
      <c r="E1436" s="17" t="s">
        <v>29</v>
      </c>
      <c r="F1436" s="17" t="s">
        <v>756</v>
      </c>
      <c r="G1436" s="17"/>
      <c r="H1436" s="18">
        <v>20383.9700</v>
      </c>
      <c r="I1436" s="18">
        <v>0</v>
      </c>
      <c r="J1436" s="18">
        <f ca="1">((J1435 + H1436) - I1436)</f>
        <v>0</v>
      </c>
      <c r="K1436" s="18">
        <v>0</v>
      </c>
      <c r="L1436" s="19">
        <v>0</v>
      </c>
      <c r="M1436" s="17" t="s">
        <v>157</v>
      </c>
    </row>
    <row r="1437" ht="10.95" customHeight="true" customFormat="true" s="9">
      <c r="A1437" s="16">
        <v>45744</v>
      </c>
      <c r="B1437" s="17" t="s">
        <v>750</v>
      </c>
      <c r="C1437" s="17" t="s">
        <v>731</v>
      </c>
      <c r="D1437" s="17" t="s">
        <v>751</v>
      </c>
      <c r="E1437" s="17" t="s">
        <v>465</v>
      </c>
      <c r="F1437" s="17" t="s">
        <v>751</v>
      </c>
      <c r="G1437" s="17" t="s">
        <v>478</v>
      </c>
      <c r="H1437" s="18">
        <v>0</v>
      </c>
      <c r="I1437" s="18">
        <v>33314.2300</v>
      </c>
      <c r="J1437" s="18">
        <f ca="1">((J1436 + H1437) - I1437)</f>
        <v>0</v>
      </c>
      <c r="K1437" s="18">
        <v>0</v>
      </c>
      <c r="L1437" s="19">
        <v>0</v>
      </c>
      <c r="M1437" s="17" t="s">
        <v>157</v>
      </c>
    </row>
    <row r="1438" ht="10.95" customHeight="true" customFormat="true" s="9">
      <c r="A1438" s="20" t="s">
        <v>758</v>
      </c>
      <c r="B1438" s="20"/>
      <c r="C1438" s="20"/>
      <c r="D1438" s="20"/>
      <c r="E1438" s="20"/>
      <c r="F1438" s="20"/>
      <c r="G1438" s="20"/>
      <c r="H1438" s="21">
        <f ca="1">SUM(H1390:H1437)</f>
        <v>0</v>
      </c>
      <c r="I1438" s="21">
        <f ca="1">SUM(I1390:I1437)</f>
        <v>0</v>
      </c>
      <c r="J1438" s="21">
        <f ca="1">J1437</f>
        <v>0</v>
      </c>
      <c r="K1438" s="21">
        <f ca="1">SUM(K1390:K1437)</f>
        <v>0</v>
      </c>
      <c r="L1438" s="20"/>
      <c r="M1438" s="20"/>
    </row>
    <row r="1439" ht="10.95" customHeight="true" customFormat="true" s="9">
      <c r="A1439" s="20" t="s">
        <v>25</v>
      </c>
      <c r="B1439" s="20"/>
      <c r="C1439" s="20"/>
      <c r="D1439" s="20"/>
      <c r="E1439" s="20"/>
      <c r="F1439" s="20"/>
      <c r="G1439" s="20"/>
      <c r="H1439" s="21">
        <v>0</v>
      </c>
      <c r="I1439" s="21">
        <v>0</v>
      </c>
      <c r="J1439" s="21">
        <v>0</v>
      </c>
      <c r="K1439" s="21">
        <v>0</v>
      </c>
      <c r="L1439" s="20"/>
      <c r="M1439" s="20"/>
    </row>
    <row r="1440" ht="10.95" customHeight="true" customFormat="true" s="9">
      <c r="A1440" s="10" t="s">
        <v>26</v>
      </c>
      <c r="B1440" s="10"/>
      <c r="C1440" s="10"/>
      <c r="D1440" s="10"/>
      <c r="E1440" s="10"/>
      <c r="F1440" s="10"/>
      <c r="G1440" s="10"/>
      <c r="H1440" s="11">
        <v>0</v>
      </c>
      <c r="I1440" s="11">
        <v>0</v>
      </c>
      <c r="J1440" s="11">
        <f ca="1">J1437</f>
        <v>0</v>
      </c>
      <c r="K1440" s="11">
        <v>0</v>
      </c>
      <c r="L1440" s="10"/>
      <c r="M1440" s="10"/>
    </row>
    <row r="1441" ht="13.35" customHeight="true"/>
    <row r="1442" ht="12.1" customHeight="true" customFormat="true" s="5">
      <c r="A1442" s="8" t="s">
        <v>759</v>
      </c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</row>
    <row r="1443" ht="10.95" customHeight="true" customFormat="true" s="9">
      <c r="A1443" s="10" t="s">
        <v>17</v>
      </c>
      <c r="B1443" s="10"/>
      <c r="C1443" s="10"/>
      <c r="D1443" s="10"/>
      <c r="E1443" s="10"/>
      <c r="F1443" s="10"/>
      <c r="G1443" s="10"/>
      <c r="H1443" s="11">
        <v>0</v>
      </c>
      <c r="I1443" s="11">
        <v>1758.7100</v>
      </c>
      <c r="J1443" s="11">
        <f ca="1">(H1443 - I1443)</f>
        <v>0</v>
      </c>
      <c r="K1443" s="11">
        <v>0</v>
      </c>
      <c r="L1443" s="10"/>
      <c r="M1443" s="10"/>
    </row>
    <row r="1444" ht="10.95" customHeight="true" customFormat="true" s="9">
      <c r="A1444" s="12">
        <v>45383</v>
      </c>
      <c r="B1444" s="13" t="s">
        <v>760</v>
      </c>
      <c r="C1444" s="13" t="s">
        <v>731</v>
      </c>
      <c r="D1444" s="13" t="s">
        <v>761</v>
      </c>
      <c r="E1444" s="13" t="s">
        <v>339</v>
      </c>
      <c r="F1444" s="13" t="s">
        <v>762</v>
      </c>
      <c r="G1444" s="13" t="s">
        <v>38</v>
      </c>
      <c r="H1444" s="14">
        <v>1758.7100</v>
      </c>
      <c r="I1444" s="14">
        <v>0</v>
      </c>
      <c r="J1444" s="14">
        <f ca="1">((J1443 + H1444) - I1444)</f>
        <v>0</v>
      </c>
      <c r="K1444" s="14">
        <v>175.8700</v>
      </c>
      <c r="L1444" s="15">
        <v>10.0000</v>
      </c>
      <c r="M1444" s="13" t="s">
        <v>341</v>
      </c>
    </row>
    <row r="1445" ht="10.95" customHeight="true" customFormat="true" s="9">
      <c r="A1445" s="16">
        <v>45409</v>
      </c>
      <c r="B1445" s="17" t="s">
        <v>760</v>
      </c>
      <c r="C1445" s="17" t="s">
        <v>731</v>
      </c>
      <c r="D1445" s="17" t="s">
        <v>761</v>
      </c>
      <c r="E1445" s="17" t="s">
        <v>465</v>
      </c>
      <c r="F1445" s="17" t="s">
        <v>763</v>
      </c>
      <c r="G1445" s="17" t="s">
        <v>467</v>
      </c>
      <c r="H1445" s="18">
        <v>0</v>
      </c>
      <c r="I1445" s="18">
        <v>1758.7100</v>
      </c>
      <c r="J1445" s="18">
        <f ca="1">((J1444 + H1445) - I1445)</f>
        <v>0</v>
      </c>
      <c r="K1445" s="18">
        <v>0</v>
      </c>
      <c r="L1445" s="19">
        <v>0</v>
      </c>
      <c r="M1445" s="17" t="s">
        <v>157</v>
      </c>
    </row>
    <row r="1446" ht="10.95" customHeight="true" customFormat="true" s="9">
      <c r="A1446" s="16">
        <v>45413</v>
      </c>
      <c r="B1446" s="17" t="s">
        <v>760</v>
      </c>
      <c r="C1446" s="17" t="s">
        <v>731</v>
      </c>
      <c r="D1446" s="17" t="s">
        <v>761</v>
      </c>
      <c r="E1446" s="17" t="s">
        <v>339</v>
      </c>
      <c r="F1446" s="17" t="s">
        <v>762</v>
      </c>
      <c r="G1446" s="17" t="s">
        <v>38</v>
      </c>
      <c r="H1446" s="18">
        <v>1758.7200</v>
      </c>
      <c r="I1446" s="18">
        <v>0</v>
      </c>
      <c r="J1446" s="18">
        <f ca="1">((J1445 + H1446) - I1446)</f>
        <v>0</v>
      </c>
      <c r="K1446" s="18">
        <v>175.8700</v>
      </c>
      <c r="L1446" s="19">
        <v>10.0000</v>
      </c>
      <c r="M1446" s="17" t="s">
        <v>341</v>
      </c>
    </row>
    <row r="1447" ht="10.95" customHeight="true" customFormat="true" s="9">
      <c r="A1447" s="16">
        <v>45440</v>
      </c>
      <c r="B1447" s="17" t="s">
        <v>760</v>
      </c>
      <c r="C1447" s="17" t="s">
        <v>731</v>
      </c>
      <c r="D1447" s="17" t="s">
        <v>761</v>
      </c>
      <c r="E1447" s="17" t="s">
        <v>465</v>
      </c>
      <c r="F1447" s="17" t="s">
        <v>763</v>
      </c>
      <c r="G1447" s="17" t="s">
        <v>468</v>
      </c>
      <c r="H1447" s="18">
        <v>0</v>
      </c>
      <c r="I1447" s="18">
        <v>1758.7100</v>
      </c>
      <c r="J1447" s="18">
        <f ca="1">((J1446 + H1447) - I1447)</f>
        <v>0</v>
      </c>
      <c r="K1447" s="18">
        <v>0</v>
      </c>
      <c r="L1447" s="19">
        <v>0</v>
      </c>
      <c r="M1447" s="17" t="s">
        <v>157</v>
      </c>
    </row>
    <row r="1448" ht="10.95" customHeight="true" customFormat="true" s="9">
      <c r="A1448" s="16">
        <v>45444</v>
      </c>
      <c r="B1448" s="17" t="s">
        <v>760</v>
      </c>
      <c r="C1448" s="17" t="s">
        <v>731</v>
      </c>
      <c r="D1448" s="17" t="s">
        <v>761</v>
      </c>
      <c r="E1448" s="17" t="s">
        <v>339</v>
      </c>
      <c r="F1448" s="17" t="s">
        <v>762</v>
      </c>
      <c r="G1448" s="17" t="s">
        <v>38</v>
      </c>
      <c r="H1448" s="18">
        <v>1758.7100</v>
      </c>
      <c r="I1448" s="18">
        <v>0</v>
      </c>
      <c r="J1448" s="18">
        <f ca="1">((J1447 + H1448) - I1448)</f>
        <v>0</v>
      </c>
      <c r="K1448" s="18">
        <v>175.8700</v>
      </c>
      <c r="L1448" s="19">
        <v>10.0000</v>
      </c>
      <c r="M1448" s="17" t="s">
        <v>341</v>
      </c>
    </row>
    <row r="1449" ht="10.95" customHeight="true" customFormat="true" s="9">
      <c r="A1449" s="16">
        <v>45470</v>
      </c>
      <c r="B1449" s="17" t="s">
        <v>760</v>
      </c>
      <c r="C1449" s="17" t="s">
        <v>731</v>
      </c>
      <c r="D1449" s="17" t="s">
        <v>761</v>
      </c>
      <c r="E1449" s="17" t="s">
        <v>465</v>
      </c>
      <c r="F1449" s="17" t="s">
        <v>763</v>
      </c>
      <c r="G1449" s="17" t="s">
        <v>469</v>
      </c>
      <c r="H1449" s="18">
        <v>0</v>
      </c>
      <c r="I1449" s="18">
        <v>1758.7100</v>
      </c>
      <c r="J1449" s="18">
        <f ca="1">((J1448 + H1449) - I1449)</f>
        <v>0</v>
      </c>
      <c r="K1449" s="18">
        <v>0</v>
      </c>
      <c r="L1449" s="19">
        <v>0</v>
      </c>
      <c r="M1449" s="17" t="s">
        <v>157</v>
      </c>
    </row>
    <row r="1450" ht="10.95" customHeight="true" customFormat="true" s="9">
      <c r="A1450" s="16">
        <v>45474</v>
      </c>
      <c r="B1450" s="17" t="s">
        <v>760</v>
      </c>
      <c r="C1450" s="17" t="s">
        <v>731</v>
      </c>
      <c r="D1450" s="17" t="s">
        <v>761</v>
      </c>
      <c r="E1450" s="17" t="s">
        <v>339</v>
      </c>
      <c r="F1450" s="17" t="s">
        <v>762</v>
      </c>
      <c r="G1450" s="17" t="s">
        <v>38</v>
      </c>
      <c r="H1450" s="18">
        <v>1758.7200</v>
      </c>
      <c r="I1450" s="18">
        <v>0</v>
      </c>
      <c r="J1450" s="18">
        <f ca="1">((J1449 + H1450) - I1450)</f>
        <v>0</v>
      </c>
      <c r="K1450" s="18">
        <v>175.8700</v>
      </c>
      <c r="L1450" s="19">
        <v>10.0000</v>
      </c>
      <c r="M1450" s="17" t="s">
        <v>341</v>
      </c>
    </row>
    <row r="1451" ht="10.95" customHeight="true" customFormat="true" s="9">
      <c r="A1451" s="16">
        <v>45501</v>
      </c>
      <c r="B1451" s="17" t="s">
        <v>760</v>
      </c>
      <c r="C1451" s="17" t="s">
        <v>731</v>
      </c>
      <c r="D1451" s="17" t="s">
        <v>761</v>
      </c>
      <c r="E1451" s="17" t="s">
        <v>465</v>
      </c>
      <c r="F1451" s="17" t="s">
        <v>763</v>
      </c>
      <c r="G1451" s="17" t="s">
        <v>470</v>
      </c>
      <c r="H1451" s="18">
        <v>0</v>
      </c>
      <c r="I1451" s="18">
        <v>1758.7100</v>
      </c>
      <c r="J1451" s="18">
        <f ca="1">((J1450 + H1451) - I1451)</f>
        <v>0</v>
      </c>
      <c r="K1451" s="18">
        <v>0</v>
      </c>
      <c r="L1451" s="19">
        <v>0</v>
      </c>
      <c r="M1451" s="17" t="s">
        <v>157</v>
      </c>
    </row>
    <row r="1452" ht="10.95" customHeight="true" customFormat="true" s="9">
      <c r="A1452" s="16">
        <v>45505</v>
      </c>
      <c r="B1452" s="17" t="s">
        <v>760</v>
      </c>
      <c r="C1452" s="17" t="s">
        <v>731</v>
      </c>
      <c r="D1452" s="17" t="s">
        <v>761</v>
      </c>
      <c r="E1452" s="17" t="s">
        <v>339</v>
      </c>
      <c r="F1452" s="17" t="s">
        <v>762</v>
      </c>
      <c r="G1452" s="17" t="s">
        <v>38</v>
      </c>
      <c r="H1452" s="18">
        <v>1758.7200</v>
      </c>
      <c r="I1452" s="18">
        <v>0</v>
      </c>
      <c r="J1452" s="18">
        <f ca="1">((J1451 + H1452) - I1452)</f>
        <v>0</v>
      </c>
      <c r="K1452" s="18">
        <v>175.8700</v>
      </c>
      <c r="L1452" s="19">
        <v>10.0000</v>
      </c>
      <c r="M1452" s="17" t="s">
        <v>341</v>
      </c>
    </row>
    <row r="1453" ht="10.95" customHeight="true" customFormat="true" s="9">
      <c r="A1453" s="16">
        <v>45532</v>
      </c>
      <c r="B1453" s="17" t="s">
        <v>760</v>
      </c>
      <c r="C1453" s="17" t="s">
        <v>731</v>
      </c>
      <c r="D1453" s="17" t="s">
        <v>761</v>
      </c>
      <c r="E1453" s="17" t="s">
        <v>465</v>
      </c>
      <c r="F1453" s="17" t="s">
        <v>763</v>
      </c>
      <c r="G1453" s="17" t="s">
        <v>471</v>
      </c>
      <c r="H1453" s="18">
        <v>0</v>
      </c>
      <c r="I1453" s="18">
        <v>1758.7100</v>
      </c>
      <c r="J1453" s="18">
        <f ca="1">((J1452 + H1453) - I1453)</f>
        <v>0</v>
      </c>
      <c r="K1453" s="18">
        <v>0</v>
      </c>
      <c r="L1453" s="19">
        <v>0</v>
      </c>
      <c r="M1453" s="17" t="s">
        <v>157</v>
      </c>
    </row>
    <row r="1454" ht="10.95" customHeight="true" customFormat="true" s="9">
      <c r="A1454" s="16">
        <v>45536</v>
      </c>
      <c r="B1454" s="17" t="s">
        <v>760</v>
      </c>
      <c r="C1454" s="17" t="s">
        <v>731</v>
      </c>
      <c r="D1454" s="17" t="s">
        <v>761</v>
      </c>
      <c r="E1454" s="17" t="s">
        <v>339</v>
      </c>
      <c r="F1454" s="17" t="s">
        <v>762</v>
      </c>
      <c r="G1454" s="17" t="s">
        <v>38</v>
      </c>
      <c r="H1454" s="18">
        <v>1758.7100</v>
      </c>
      <c r="I1454" s="18">
        <v>0</v>
      </c>
      <c r="J1454" s="18">
        <f ca="1">((J1453 + H1454) - I1454)</f>
        <v>0</v>
      </c>
      <c r="K1454" s="18">
        <v>175.8700</v>
      </c>
      <c r="L1454" s="19">
        <v>10.0000</v>
      </c>
      <c r="M1454" s="17" t="s">
        <v>341</v>
      </c>
    </row>
    <row r="1455" ht="10.95" customHeight="true" customFormat="true" s="9">
      <c r="A1455" s="16">
        <v>45562</v>
      </c>
      <c r="B1455" s="17" t="s">
        <v>760</v>
      </c>
      <c r="C1455" s="17" t="s">
        <v>731</v>
      </c>
      <c r="D1455" s="17" t="s">
        <v>761</v>
      </c>
      <c r="E1455" s="17" t="s">
        <v>465</v>
      </c>
      <c r="F1455" s="17" t="s">
        <v>763</v>
      </c>
      <c r="G1455" s="17" t="s">
        <v>472</v>
      </c>
      <c r="H1455" s="18">
        <v>0</v>
      </c>
      <c r="I1455" s="18">
        <v>1758.7100</v>
      </c>
      <c r="J1455" s="18">
        <f ca="1">((J1454 + H1455) - I1455)</f>
        <v>0</v>
      </c>
      <c r="K1455" s="18">
        <v>0</v>
      </c>
      <c r="L1455" s="19">
        <v>0</v>
      </c>
      <c r="M1455" s="17" t="s">
        <v>157</v>
      </c>
    </row>
    <row r="1456" ht="10.95" customHeight="true" customFormat="true" s="9">
      <c r="A1456" s="16">
        <v>45566</v>
      </c>
      <c r="B1456" s="17" t="s">
        <v>760</v>
      </c>
      <c r="C1456" s="17" t="s">
        <v>731</v>
      </c>
      <c r="D1456" s="17" t="s">
        <v>761</v>
      </c>
      <c r="E1456" s="17" t="s">
        <v>339</v>
      </c>
      <c r="F1456" s="17" t="s">
        <v>762</v>
      </c>
      <c r="G1456" s="17" t="s">
        <v>38</v>
      </c>
      <c r="H1456" s="18">
        <v>1758.7100</v>
      </c>
      <c r="I1456" s="18">
        <v>0</v>
      </c>
      <c r="J1456" s="18">
        <f ca="1">((J1455 + H1456) - I1456)</f>
        <v>0</v>
      </c>
      <c r="K1456" s="18">
        <v>175.8700</v>
      </c>
      <c r="L1456" s="19">
        <v>10.0000</v>
      </c>
      <c r="M1456" s="17" t="s">
        <v>341</v>
      </c>
    </row>
    <row r="1457" ht="10.95" customHeight="true" customFormat="true" s="9">
      <c r="A1457" s="16">
        <v>45593</v>
      </c>
      <c r="B1457" s="17" t="s">
        <v>760</v>
      </c>
      <c r="C1457" s="17" t="s">
        <v>731</v>
      </c>
      <c r="D1457" s="17" t="s">
        <v>761</v>
      </c>
      <c r="E1457" s="17" t="s">
        <v>465</v>
      </c>
      <c r="F1457" s="17" t="s">
        <v>763</v>
      </c>
      <c r="G1457" s="17" t="s">
        <v>473</v>
      </c>
      <c r="H1457" s="18">
        <v>0</v>
      </c>
      <c r="I1457" s="18">
        <v>1758.7100</v>
      </c>
      <c r="J1457" s="18">
        <f ca="1">((J1456 + H1457) - I1457)</f>
        <v>0</v>
      </c>
      <c r="K1457" s="18">
        <v>0</v>
      </c>
      <c r="L1457" s="19">
        <v>0</v>
      </c>
      <c r="M1457" s="17" t="s">
        <v>157</v>
      </c>
    </row>
    <row r="1458" ht="10.95" customHeight="true" customFormat="true" s="9">
      <c r="A1458" s="16">
        <v>45597</v>
      </c>
      <c r="B1458" s="17" t="s">
        <v>760</v>
      </c>
      <c r="C1458" s="17" t="s">
        <v>731</v>
      </c>
      <c r="D1458" s="17" t="s">
        <v>761</v>
      </c>
      <c r="E1458" s="17" t="s">
        <v>339</v>
      </c>
      <c r="F1458" s="17" t="s">
        <v>762</v>
      </c>
      <c r="G1458" s="17" t="s">
        <v>38</v>
      </c>
      <c r="H1458" s="18">
        <v>1758.7200</v>
      </c>
      <c r="I1458" s="18">
        <v>0</v>
      </c>
      <c r="J1458" s="18">
        <f ca="1">((J1457 + H1458) - I1458)</f>
        <v>0</v>
      </c>
      <c r="K1458" s="18">
        <v>175.8700</v>
      </c>
      <c r="L1458" s="19">
        <v>10.0000</v>
      </c>
      <c r="M1458" s="17" t="s">
        <v>341</v>
      </c>
    </row>
    <row r="1459" ht="10.95" customHeight="true" customFormat="true" s="9">
      <c r="A1459" s="16">
        <v>45623</v>
      </c>
      <c r="B1459" s="17" t="s">
        <v>760</v>
      </c>
      <c r="C1459" s="17" t="s">
        <v>731</v>
      </c>
      <c r="D1459" s="17" t="s">
        <v>761</v>
      </c>
      <c r="E1459" s="17" t="s">
        <v>465</v>
      </c>
      <c r="F1459" s="17" t="s">
        <v>763</v>
      </c>
      <c r="G1459" s="17" t="s">
        <v>474</v>
      </c>
      <c r="H1459" s="18">
        <v>0</v>
      </c>
      <c r="I1459" s="18">
        <v>1758.7100</v>
      </c>
      <c r="J1459" s="18">
        <f ca="1">((J1458 + H1459) - I1459)</f>
        <v>0</v>
      </c>
      <c r="K1459" s="18">
        <v>0</v>
      </c>
      <c r="L1459" s="19">
        <v>0</v>
      </c>
      <c r="M1459" s="17" t="s">
        <v>157</v>
      </c>
    </row>
    <row r="1460" ht="10.95" customHeight="true" customFormat="true" s="9">
      <c r="A1460" s="16">
        <v>45627</v>
      </c>
      <c r="B1460" s="17" t="s">
        <v>760</v>
      </c>
      <c r="C1460" s="17" t="s">
        <v>731</v>
      </c>
      <c r="D1460" s="17" t="s">
        <v>761</v>
      </c>
      <c r="E1460" s="17" t="s">
        <v>339</v>
      </c>
      <c r="F1460" s="17" t="s">
        <v>762</v>
      </c>
      <c r="G1460" s="17" t="s">
        <v>38</v>
      </c>
      <c r="H1460" s="18">
        <v>1758.7200</v>
      </c>
      <c r="I1460" s="18">
        <v>0</v>
      </c>
      <c r="J1460" s="18">
        <f ca="1">((J1459 + H1460) - I1460)</f>
        <v>0</v>
      </c>
      <c r="K1460" s="18">
        <v>175.8700</v>
      </c>
      <c r="L1460" s="19">
        <v>10.0000</v>
      </c>
      <c r="M1460" s="17" t="s">
        <v>341</v>
      </c>
    </row>
    <row r="1461" ht="10.95" customHeight="true" customFormat="true" s="9">
      <c r="A1461" s="16">
        <v>45654</v>
      </c>
      <c r="B1461" s="17" t="s">
        <v>760</v>
      </c>
      <c r="C1461" s="17" t="s">
        <v>731</v>
      </c>
      <c r="D1461" s="17" t="s">
        <v>761</v>
      </c>
      <c r="E1461" s="17" t="s">
        <v>465</v>
      </c>
      <c r="F1461" s="17" t="s">
        <v>763</v>
      </c>
      <c r="G1461" s="17" t="s">
        <v>475</v>
      </c>
      <c r="H1461" s="18">
        <v>0</v>
      </c>
      <c r="I1461" s="18">
        <v>1758.7100</v>
      </c>
      <c r="J1461" s="18">
        <f ca="1">((J1460 + H1461) - I1461)</f>
        <v>0</v>
      </c>
      <c r="K1461" s="18">
        <v>0</v>
      </c>
      <c r="L1461" s="19">
        <v>0</v>
      </c>
      <c r="M1461" s="17" t="s">
        <v>157</v>
      </c>
    </row>
    <row r="1462" ht="10.95" customHeight="true" customFormat="true" s="9">
      <c r="A1462" s="16">
        <v>45658</v>
      </c>
      <c r="B1462" s="17" t="s">
        <v>760</v>
      </c>
      <c r="C1462" s="17" t="s">
        <v>731</v>
      </c>
      <c r="D1462" s="17" t="s">
        <v>761</v>
      </c>
      <c r="E1462" s="17" t="s">
        <v>339</v>
      </c>
      <c r="F1462" s="17" t="s">
        <v>762</v>
      </c>
      <c r="G1462" s="17" t="s">
        <v>38</v>
      </c>
      <c r="H1462" s="18">
        <v>1758.7200</v>
      </c>
      <c r="I1462" s="18">
        <v>0</v>
      </c>
      <c r="J1462" s="18">
        <f ca="1">((J1461 + H1462) - I1462)</f>
        <v>0</v>
      </c>
      <c r="K1462" s="18">
        <v>175.8700</v>
      </c>
      <c r="L1462" s="19">
        <v>10.0000</v>
      </c>
      <c r="M1462" s="17" t="s">
        <v>341</v>
      </c>
    </row>
    <row r="1463" ht="10.95" customHeight="true" customFormat="true" s="9">
      <c r="A1463" s="16">
        <v>45685</v>
      </c>
      <c r="B1463" s="17" t="s">
        <v>760</v>
      </c>
      <c r="C1463" s="17" t="s">
        <v>731</v>
      </c>
      <c r="D1463" s="17" t="s">
        <v>761</v>
      </c>
      <c r="E1463" s="17" t="s">
        <v>465</v>
      </c>
      <c r="F1463" s="17" t="s">
        <v>763</v>
      </c>
      <c r="G1463" s="17" t="s">
        <v>476</v>
      </c>
      <c r="H1463" s="18">
        <v>0</v>
      </c>
      <c r="I1463" s="18">
        <v>1758.7100</v>
      </c>
      <c r="J1463" s="18">
        <f ca="1">((J1462 + H1463) - I1463)</f>
        <v>0</v>
      </c>
      <c r="K1463" s="18">
        <v>0</v>
      </c>
      <c r="L1463" s="19">
        <v>0</v>
      </c>
      <c r="M1463" s="17" t="s">
        <v>157</v>
      </c>
    </row>
    <row r="1464" ht="10.95" customHeight="true" customFormat="true" s="9">
      <c r="A1464" s="16">
        <v>45689</v>
      </c>
      <c r="B1464" s="17" t="s">
        <v>760</v>
      </c>
      <c r="C1464" s="17" t="s">
        <v>731</v>
      </c>
      <c r="D1464" s="17" t="s">
        <v>761</v>
      </c>
      <c r="E1464" s="17" t="s">
        <v>339</v>
      </c>
      <c r="F1464" s="17" t="s">
        <v>762</v>
      </c>
      <c r="G1464" s="17" t="s">
        <v>38</v>
      </c>
      <c r="H1464" s="18">
        <v>1941.8000</v>
      </c>
      <c r="I1464" s="18">
        <v>0</v>
      </c>
      <c r="J1464" s="18">
        <f ca="1">((J1463 + H1464) - I1464)</f>
        <v>0</v>
      </c>
      <c r="K1464" s="18">
        <v>194.1800</v>
      </c>
      <c r="L1464" s="19">
        <v>10.0000</v>
      </c>
      <c r="M1464" s="17" t="s">
        <v>341</v>
      </c>
    </row>
    <row r="1465" ht="10.95" customHeight="true" customFormat="true" s="9">
      <c r="A1465" s="16">
        <v>45713</v>
      </c>
      <c r="B1465" s="17" t="s">
        <v>760</v>
      </c>
      <c r="C1465" s="17" t="s">
        <v>731</v>
      </c>
      <c r="D1465" s="17" t="s">
        <v>761</v>
      </c>
      <c r="E1465" s="17" t="s">
        <v>465</v>
      </c>
      <c r="F1465" s="17" t="s">
        <v>763</v>
      </c>
      <c r="G1465" s="17" t="s">
        <v>477</v>
      </c>
      <c r="H1465" s="18">
        <v>0</v>
      </c>
      <c r="I1465" s="18">
        <v>1941.8000</v>
      </c>
      <c r="J1465" s="18">
        <f ca="1">((J1464 + H1465) - I1465)</f>
        <v>0</v>
      </c>
      <c r="K1465" s="18">
        <v>0</v>
      </c>
      <c r="L1465" s="19">
        <v>0</v>
      </c>
      <c r="M1465" s="17" t="s">
        <v>157</v>
      </c>
    </row>
    <row r="1466" ht="10.95" customHeight="true" customFormat="true" s="9">
      <c r="A1466" s="16">
        <v>45717</v>
      </c>
      <c r="B1466" s="17" t="s">
        <v>760</v>
      </c>
      <c r="C1466" s="17" t="s">
        <v>731</v>
      </c>
      <c r="D1466" s="17" t="s">
        <v>761</v>
      </c>
      <c r="E1466" s="17" t="s">
        <v>339</v>
      </c>
      <c r="F1466" s="17" t="s">
        <v>762</v>
      </c>
      <c r="G1466" s="17" t="s">
        <v>38</v>
      </c>
      <c r="H1466" s="18">
        <v>1941.8000</v>
      </c>
      <c r="I1466" s="18">
        <v>0</v>
      </c>
      <c r="J1466" s="18">
        <f ca="1">((J1465 + H1466) - I1466)</f>
        <v>0</v>
      </c>
      <c r="K1466" s="18">
        <v>194.1800</v>
      </c>
      <c r="L1466" s="19">
        <v>10.0000</v>
      </c>
      <c r="M1466" s="17" t="s">
        <v>341</v>
      </c>
    </row>
    <row r="1467" ht="10.95" customHeight="true" customFormat="true" s="9">
      <c r="A1467" s="16">
        <v>45744</v>
      </c>
      <c r="B1467" s="17" t="s">
        <v>760</v>
      </c>
      <c r="C1467" s="17" t="s">
        <v>731</v>
      </c>
      <c r="D1467" s="17" t="s">
        <v>761</v>
      </c>
      <c r="E1467" s="17" t="s">
        <v>465</v>
      </c>
      <c r="F1467" s="17" t="s">
        <v>763</v>
      </c>
      <c r="G1467" s="17" t="s">
        <v>478</v>
      </c>
      <c r="H1467" s="18">
        <v>0</v>
      </c>
      <c r="I1467" s="18">
        <v>2124.8900</v>
      </c>
      <c r="J1467" s="18">
        <f ca="1">((J1466 + H1467) - I1467)</f>
        <v>0</v>
      </c>
      <c r="K1467" s="18">
        <v>0</v>
      </c>
      <c r="L1467" s="19">
        <v>0</v>
      </c>
      <c r="M1467" s="17" t="s">
        <v>157</v>
      </c>
    </row>
    <row r="1468" ht="10.95" customHeight="true" customFormat="true" s="9">
      <c r="A1468" s="20" t="s">
        <v>764</v>
      </c>
      <c r="B1468" s="20"/>
      <c r="C1468" s="20"/>
      <c r="D1468" s="20"/>
      <c r="E1468" s="20"/>
      <c r="F1468" s="20"/>
      <c r="G1468" s="20"/>
      <c r="H1468" s="21">
        <f ca="1">SUM(H1444:H1467)</f>
        <v>0</v>
      </c>
      <c r="I1468" s="21">
        <f ca="1">SUM(I1444:I1467)</f>
        <v>0</v>
      </c>
      <c r="J1468" s="21">
        <f ca="1">J1467</f>
        <v>0</v>
      </c>
      <c r="K1468" s="21">
        <f ca="1">SUM(K1444:K1467)</f>
        <v>0</v>
      </c>
      <c r="L1468" s="20"/>
      <c r="M1468" s="20"/>
    </row>
    <row r="1469" ht="10.95" customHeight="true" customFormat="true" s="9">
      <c r="A1469" s="20" t="s">
        <v>25</v>
      </c>
      <c r="B1469" s="20"/>
      <c r="C1469" s="20"/>
      <c r="D1469" s="20"/>
      <c r="E1469" s="20"/>
      <c r="F1469" s="20"/>
      <c r="G1469" s="20"/>
      <c r="H1469" s="21">
        <v>0</v>
      </c>
      <c r="I1469" s="21">
        <v>183.0300</v>
      </c>
      <c r="J1469" s="21">
        <v>0</v>
      </c>
      <c r="K1469" s="21">
        <v>0</v>
      </c>
      <c r="L1469" s="20"/>
      <c r="M1469" s="20"/>
    </row>
    <row r="1470" ht="10.95" customHeight="true" customFormat="true" s="9">
      <c r="A1470" s="10" t="s">
        <v>26</v>
      </c>
      <c r="B1470" s="10"/>
      <c r="C1470" s="10"/>
      <c r="D1470" s="10"/>
      <c r="E1470" s="10"/>
      <c r="F1470" s="10"/>
      <c r="G1470" s="10"/>
      <c r="H1470" s="11">
        <v>0</v>
      </c>
      <c r="I1470" s="11">
        <v>1941.7400</v>
      </c>
      <c r="J1470" s="11">
        <f ca="1">J1467</f>
        <v>0</v>
      </c>
      <c r="K1470" s="11">
        <v>0</v>
      </c>
      <c r="L1470" s="10"/>
      <c r="M1470" s="10"/>
    </row>
    <row r="1471" ht="13.35" customHeight="true"/>
    <row r="1472" ht="12.1" customHeight="true" customFormat="true" s="5">
      <c r="A1472" s="8" t="s">
        <v>765</v>
      </c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</row>
    <row r="1473" ht="10.95" customHeight="true" customFormat="true" s="9">
      <c r="A1473" s="10" t="s">
        <v>17</v>
      </c>
      <c r="B1473" s="10"/>
      <c r="C1473" s="10"/>
      <c r="D1473" s="10"/>
      <c r="E1473" s="10"/>
      <c r="F1473" s="10"/>
      <c r="G1473" s="10"/>
      <c r="H1473" s="11">
        <v>0</v>
      </c>
      <c r="I1473" s="11">
        <v>1178.7400</v>
      </c>
      <c r="J1473" s="11">
        <f ca="1">(H1473 - I1473)</f>
        <v>0</v>
      </c>
      <c r="K1473" s="11">
        <v>0</v>
      </c>
      <c r="L1473" s="10"/>
      <c r="M1473" s="10"/>
    </row>
    <row r="1474" ht="10.95" customHeight="true" customFormat="true" s="9">
      <c r="A1474" s="12">
        <v>45565</v>
      </c>
      <c r="B1474" s="13" t="s">
        <v>766</v>
      </c>
      <c r="C1474" s="13" t="s">
        <v>731</v>
      </c>
      <c r="D1474" s="13" t="s">
        <v>767</v>
      </c>
      <c r="E1474" s="13" t="s">
        <v>154</v>
      </c>
      <c r="F1474" s="13" t="s">
        <v>211</v>
      </c>
      <c r="G1474" s="13" t="s">
        <v>168</v>
      </c>
      <c r="H1474" s="14">
        <v>1178.7400</v>
      </c>
      <c r="I1474" s="14">
        <v>0</v>
      </c>
      <c r="J1474" s="14">
        <f ca="1">((J1473 + H1474) - I1474)</f>
        <v>0</v>
      </c>
      <c r="K1474" s="14">
        <v>0</v>
      </c>
      <c r="L1474" s="15">
        <v>0</v>
      </c>
      <c r="M1474" s="13" t="s">
        <v>157</v>
      </c>
    </row>
    <row r="1475" ht="10.95" customHeight="true" customFormat="true" s="9">
      <c r="A1475" s="16">
        <v>45565</v>
      </c>
      <c r="B1475" s="17" t="s">
        <v>766</v>
      </c>
      <c r="C1475" s="17" t="s">
        <v>731</v>
      </c>
      <c r="D1475" s="17" t="s">
        <v>767</v>
      </c>
      <c r="E1475" s="17" t="s">
        <v>154</v>
      </c>
      <c r="F1475" s="17" t="s">
        <v>442</v>
      </c>
      <c r="G1475" s="17" t="s">
        <v>168</v>
      </c>
      <c r="H1475" s="18">
        <v>0</v>
      </c>
      <c r="I1475" s="18">
        <v>108.9100</v>
      </c>
      <c r="J1475" s="18">
        <f ca="1">((J1474 + H1475) - I1475)</f>
        <v>0</v>
      </c>
      <c r="K1475" s="18">
        <v>0</v>
      </c>
      <c r="L1475" s="19">
        <v>0</v>
      </c>
      <c r="M1475" s="17" t="s">
        <v>157</v>
      </c>
    </row>
    <row r="1476" ht="10.95" customHeight="true" customFormat="true" s="9">
      <c r="A1476" s="16">
        <v>45747</v>
      </c>
      <c r="B1476" s="17" t="s">
        <v>766</v>
      </c>
      <c r="C1476" s="17" t="s">
        <v>731</v>
      </c>
      <c r="D1476" s="17" t="s">
        <v>767</v>
      </c>
      <c r="E1476" s="17" t="s">
        <v>154</v>
      </c>
      <c r="F1476" s="17" t="s">
        <v>549</v>
      </c>
      <c r="G1476" s="17" t="s">
        <v>156</v>
      </c>
      <c r="H1476" s="18">
        <v>108.9100</v>
      </c>
      <c r="I1476" s="18">
        <v>0</v>
      </c>
      <c r="J1476" s="18">
        <f ca="1">((J1475 + H1476) - I1476)</f>
        <v>0</v>
      </c>
      <c r="K1476" s="18">
        <v>0</v>
      </c>
      <c r="L1476" s="19">
        <v>0</v>
      </c>
      <c r="M1476" s="17" t="s">
        <v>157</v>
      </c>
    </row>
    <row r="1477" ht="10.95" customHeight="true" customFormat="true" s="9">
      <c r="A1477" s="20" t="s">
        <v>768</v>
      </c>
      <c r="B1477" s="20"/>
      <c r="C1477" s="20"/>
      <c r="D1477" s="20"/>
      <c r="E1477" s="20"/>
      <c r="F1477" s="20"/>
      <c r="G1477" s="20"/>
      <c r="H1477" s="21">
        <f ca="1">SUM(H1474:H1476)</f>
        <v>0</v>
      </c>
      <c r="I1477" s="21">
        <f ca="1">SUM(I1474:I1476)</f>
        <v>0</v>
      </c>
      <c r="J1477" s="21">
        <f ca="1">J1476</f>
        <v>0</v>
      </c>
      <c r="K1477" s="21">
        <f ca="1">SUM(K1474:K1476)</f>
        <v>0</v>
      </c>
      <c r="L1477" s="20"/>
      <c r="M1477" s="20"/>
    </row>
    <row r="1478" ht="10.95" customHeight="true" customFormat="true" s="9">
      <c r="A1478" s="20" t="s">
        <v>25</v>
      </c>
      <c r="B1478" s="20"/>
      <c r="C1478" s="20"/>
      <c r="D1478" s="20"/>
      <c r="E1478" s="20"/>
      <c r="F1478" s="20"/>
      <c r="G1478" s="20"/>
      <c r="H1478" s="21">
        <v>1178.7400</v>
      </c>
      <c r="I1478" s="21">
        <v>0</v>
      </c>
      <c r="J1478" s="21">
        <v>0</v>
      </c>
      <c r="K1478" s="21">
        <v>0</v>
      </c>
      <c r="L1478" s="20"/>
      <c r="M1478" s="20"/>
    </row>
    <row r="1479" ht="10.95" customHeight="true" customFormat="true" s="9">
      <c r="A1479" s="10" t="s">
        <v>26</v>
      </c>
      <c r="B1479" s="10"/>
      <c r="C1479" s="10"/>
      <c r="D1479" s="10"/>
      <c r="E1479" s="10"/>
      <c r="F1479" s="10"/>
      <c r="G1479" s="10"/>
      <c r="H1479" s="11">
        <v>0</v>
      </c>
      <c r="I1479" s="11">
        <v>0</v>
      </c>
      <c r="J1479" s="11">
        <f ca="1">J1476</f>
        <v>0</v>
      </c>
      <c r="K1479" s="11">
        <v>0</v>
      </c>
      <c r="L1479" s="10"/>
      <c r="M1479" s="10"/>
    </row>
    <row r="1480" ht="13.35" customHeight="true"/>
    <row r="1481" ht="12.1" customHeight="true" customFormat="true" s="5">
      <c r="A1481" s="8" t="s">
        <v>769</v>
      </c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</row>
    <row r="1482" ht="10.95" customHeight="true" customFormat="true" s="9">
      <c r="A1482" s="10" t="s">
        <v>17</v>
      </c>
      <c r="B1482" s="10"/>
      <c r="C1482" s="10"/>
      <c r="D1482" s="10"/>
      <c r="E1482" s="10"/>
      <c r="F1482" s="10"/>
      <c r="G1482" s="10"/>
      <c r="H1482" s="11">
        <v>1072.0400</v>
      </c>
      <c r="I1482" s="11">
        <v>0</v>
      </c>
      <c r="J1482" s="11">
        <f ca="1">(H1482 - I1482)</f>
        <v>0</v>
      </c>
      <c r="K1482" s="11">
        <v>0</v>
      </c>
      <c r="L1482" s="10"/>
      <c r="M1482" s="10"/>
    </row>
    <row r="1483" ht="10.95" customHeight="true" customFormat="true" s="9">
      <c r="A1483" s="12">
        <v>45383</v>
      </c>
      <c r="B1483" s="13" t="s">
        <v>770</v>
      </c>
      <c r="C1483" s="13" t="s">
        <v>731</v>
      </c>
      <c r="D1483" s="13" t="s">
        <v>13</v>
      </c>
      <c r="E1483" s="13" t="s">
        <v>339</v>
      </c>
      <c r="F1483" s="13" t="s">
        <v>733</v>
      </c>
      <c r="G1483" s="13" t="s">
        <v>38</v>
      </c>
      <c r="H1483" s="14">
        <v>175.8700</v>
      </c>
      <c r="I1483" s="14">
        <v>0</v>
      </c>
      <c r="J1483" s="14">
        <f ca="1">((J1482 + H1483) - I1483)</f>
        <v>0</v>
      </c>
      <c r="K1483" s="14">
        <v>0</v>
      </c>
      <c r="L1483" s="15">
        <v>0</v>
      </c>
      <c r="M1483" s="13"/>
    </row>
    <row r="1484" ht="10.95" customHeight="true" customFormat="true" s="9">
      <c r="A1484" s="16">
        <v>45411</v>
      </c>
      <c r="B1484" s="17" t="s">
        <v>770</v>
      </c>
      <c r="C1484" s="17" t="s">
        <v>731</v>
      </c>
      <c r="D1484" s="17" t="s">
        <v>13</v>
      </c>
      <c r="E1484" s="17" t="s">
        <v>29</v>
      </c>
      <c r="F1484" s="17" t="s">
        <v>771</v>
      </c>
      <c r="G1484" s="17"/>
      <c r="H1484" s="18">
        <v>0</v>
      </c>
      <c r="I1484" s="18">
        <v>1072.0000</v>
      </c>
      <c r="J1484" s="18">
        <f ca="1">((J1483 + H1484) - I1484)</f>
        <v>0</v>
      </c>
      <c r="K1484" s="18">
        <v>0</v>
      </c>
      <c r="L1484" s="19">
        <v>0</v>
      </c>
      <c r="M1484" s="17" t="s">
        <v>157</v>
      </c>
    </row>
    <row r="1485" ht="10.95" customHeight="true" customFormat="true" s="9">
      <c r="A1485" s="16">
        <v>45412</v>
      </c>
      <c r="B1485" s="17" t="s">
        <v>770</v>
      </c>
      <c r="C1485" s="17" t="s">
        <v>731</v>
      </c>
      <c r="D1485" s="17" t="s">
        <v>13</v>
      </c>
      <c r="E1485" s="17" t="s">
        <v>339</v>
      </c>
      <c r="F1485" s="17" t="s">
        <v>734</v>
      </c>
      <c r="G1485" s="17" t="s">
        <v>44</v>
      </c>
      <c r="H1485" s="18">
        <v>236.7300</v>
      </c>
      <c r="I1485" s="18">
        <v>0</v>
      </c>
      <c r="J1485" s="18">
        <f ca="1">((J1484 + H1485) - I1485)</f>
        <v>0</v>
      </c>
      <c r="K1485" s="18">
        <v>0</v>
      </c>
      <c r="L1485" s="19">
        <v>0</v>
      </c>
      <c r="M1485" s="17"/>
    </row>
    <row r="1486" ht="10.95" customHeight="true" customFormat="true" s="9">
      <c r="A1486" s="16">
        <v>45413</v>
      </c>
      <c r="B1486" s="17" t="s">
        <v>770</v>
      </c>
      <c r="C1486" s="17" t="s">
        <v>731</v>
      </c>
      <c r="D1486" s="17" t="s">
        <v>13</v>
      </c>
      <c r="E1486" s="17" t="s">
        <v>339</v>
      </c>
      <c r="F1486" s="17" t="s">
        <v>733</v>
      </c>
      <c r="G1486" s="17" t="s">
        <v>38</v>
      </c>
      <c r="H1486" s="18">
        <v>175.8700</v>
      </c>
      <c r="I1486" s="18">
        <v>0</v>
      </c>
      <c r="J1486" s="18">
        <f ca="1">((J1485 + H1486) - I1486)</f>
        <v>0</v>
      </c>
      <c r="K1486" s="18">
        <v>0</v>
      </c>
      <c r="L1486" s="19">
        <v>0</v>
      </c>
      <c r="M1486" s="17"/>
    </row>
    <row r="1487" ht="10.95" customHeight="true" customFormat="true" s="9">
      <c r="A1487" s="16">
        <v>45444</v>
      </c>
      <c r="B1487" s="17" t="s">
        <v>770</v>
      </c>
      <c r="C1487" s="17" t="s">
        <v>731</v>
      </c>
      <c r="D1487" s="17" t="s">
        <v>13</v>
      </c>
      <c r="E1487" s="17" t="s">
        <v>339</v>
      </c>
      <c r="F1487" s="17" t="s">
        <v>733</v>
      </c>
      <c r="G1487" s="17" t="s">
        <v>38</v>
      </c>
      <c r="H1487" s="18">
        <v>175.8700</v>
      </c>
      <c r="I1487" s="18">
        <v>0</v>
      </c>
      <c r="J1487" s="18">
        <f ca="1">((J1486 + H1487) - I1487)</f>
        <v>0</v>
      </c>
      <c r="K1487" s="18">
        <v>0</v>
      </c>
      <c r="L1487" s="19">
        <v>0</v>
      </c>
      <c r="M1487" s="17"/>
    </row>
    <row r="1488" ht="10.95" customHeight="true" customFormat="true" s="9">
      <c r="A1488" s="16">
        <v>45473</v>
      </c>
      <c r="B1488" s="17" t="s">
        <v>770</v>
      </c>
      <c r="C1488" s="17" t="s">
        <v>731</v>
      </c>
      <c r="D1488" s="17" t="s">
        <v>13</v>
      </c>
      <c r="E1488" s="17" t="s">
        <v>339</v>
      </c>
      <c r="F1488" s="17" t="s">
        <v>734</v>
      </c>
      <c r="G1488" s="17" t="s">
        <v>46</v>
      </c>
      <c r="H1488" s="18">
        <v>70.0000</v>
      </c>
      <c r="I1488" s="18">
        <v>0</v>
      </c>
      <c r="J1488" s="18">
        <f ca="1">((J1487 + H1488) - I1488)</f>
        <v>0</v>
      </c>
      <c r="K1488" s="18">
        <v>0</v>
      </c>
      <c r="L1488" s="19">
        <v>0</v>
      </c>
      <c r="M1488" s="17"/>
    </row>
    <row r="1489" ht="10.95" customHeight="true" customFormat="true" s="9">
      <c r="A1489" s="16">
        <v>45473</v>
      </c>
      <c r="B1489" s="17" t="s">
        <v>770</v>
      </c>
      <c r="C1489" s="17" t="s">
        <v>731</v>
      </c>
      <c r="D1489" s="17" t="s">
        <v>13</v>
      </c>
      <c r="E1489" s="17" t="s">
        <v>339</v>
      </c>
      <c r="F1489" s="17" t="s">
        <v>734</v>
      </c>
      <c r="G1489" s="17" t="s">
        <v>45</v>
      </c>
      <c r="H1489" s="18">
        <v>250.0000</v>
      </c>
      <c r="I1489" s="18">
        <v>0</v>
      </c>
      <c r="J1489" s="18">
        <f ca="1">((J1488 + H1489) - I1489)</f>
        <v>0</v>
      </c>
      <c r="K1489" s="18">
        <v>0</v>
      </c>
      <c r="L1489" s="19">
        <v>0</v>
      </c>
      <c r="M1489" s="17"/>
    </row>
    <row r="1490" ht="10.95" customHeight="true" customFormat="true" s="9">
      <c r="A1490" s="16">
        <v>45473</v>
      </c>
      <c r="B1490" s="17" t="s">
        <v>770</v>
      </c>
      <c r="C1490" s="17" t="s">
        <v>731</v>
      </c>
      <c r="D1490" s="17" t="s">
        <v>13</v>
      </c>
      <c r="E1490" s="17" t="s">
        <v>339</v>
      </c>
      <c r="F1490" s="17" t="s">
        <v>734</v>
      </c>
      <c r="G1490" s="17" t="s">
        <v>50</v>
      </c>
      <c r="H1490" s="18">
        <v>250.0000</v>
      </c>
      <c r="I1490" s="18">
        <v>0</v>
      </c>
      <c r="J1490" s="18">
        <f ca="1">((J1489 + H1490) - I1490)</f>
        <v>0</v>
      </c>
      <c r="K1490" s="18">
        <v>0</v>
      </c>
      <c r="L1490" s="19">
        <v>0</v>
      </c>
      <c r="M1490" s="17"/>
    </row>
    <row r="1491" ht="10.95" customHeight="true" customFormat="true" s="9">
      <c r="A1491" s="16">
        <v>45474</v>
      </c>
      <c r="B1491" s="17" t="s">
        <v>770</v>
      </c>
      <c r="C1491" s="17" t="s">
        <v>731</v>
      </c>
      <c r="D1491" s="17" t="s">
        <v>13</v>
      </c>
      <c r="E1491" s="17" t="s">
        <v>339</v>
      </c>
      <c r="F1491" s="17" t="s">
        <v>733</v>
      </c>
      <c r="G1491" s="17" t="s">
        <v>38</v>
      </c>
      <c r="H1491" s="18">
        <v>175.8700</v>
      </c>
      <c r="I1491" s="18">
        <v>0</v>
      </c>
      <c r="J1491" s="18">
        <f ca="1">((J1490 + H1491) - I1491)</f>
        <v>0</v>
      </c>
      <c r="K1491" s="18">
        <v>0</v>
      </c>
      <c r="L1491" s="19">
        <v>0</v>
      </c>
      <c r="M1491" s="17"/>
    </row>
    <row r="1492" ht="10.95" customHeight="true" customFormat="true" s="9">
      <c r="A1492" s="16">
        <v>45504</v>
      </c>
      <c r="B1492" s="17" t="s">
        <v>770</v>
      </c>
      <c r="C1492" s="17" t="s">
        <v>731</v>
      </c>
      <c r="D1492" s="17" t="s">
        <v>13</v>
      </c>
      <c r="E1492" s="17" t="s">
        <v>339</v>
      </c>
      <c r="F1492" s="17" t="s">
        <v>734</v>
      </c>
      <c r="G1492" s="17" t="s">
        <v>51</v>
      </c>
      <c r="H1492" s="18">
        <v>250.0000</v>
      </c>
      <c r="I1492" s="18">
        <v>0</v>
      </c>
      <c r="J1492" s="18">
        <f ca="1">((J1491 + H1492) - I1492)</f>
        <v>0</v>
      </c>
      <c r="K1492" s="18">
        <v>0</v>
      </c>
      <c r="L1492" s="19">
        <v>0</v>
      </c>
      <c r="M1492" s="17"/>
    </row>
    <row r="1493" ht="10.95" customHeight="true" customFormat="true" s="9">
      <c r="A1493" s="16">
        <v>45505</v>
      </c>
      <c r="B1493" s="17" t="s">
        <v>770</v>
      </c>
      <c r="C1493" s="17" t="s">
        <v>731</v>
      </c>
      <c r="D1493" s="17" t="s">
        <v>13</v>
      </c>
      <c r="E1493" s="17" t="s">
        <v>339</v>
      </c>
      <c r="F1493" s="17" t="s">
        <v>733</v>
      </c>
      <c r="G1493" s="17" t="s">
        <v>38</v>
      </c>
      <c r="H1493" s="18">
        <v>175.8700</v>
      </c>
      <c r="I1493" s="18">
        <v>0</v>
      </c>
      <c r="J1493" s="18">
        <f ca="1">((J1492 + H1493) - I1493)</f>
        <v>0</v>
      </c>
      <c r="K1493" s="18">
        <v>0</v>
      </c>
      <c r="L1493" s="19">
        <v>0</v>
      </c>
      <c r="M1493" s="17"/>
    </row>
    <row r="1494" ht="10.95" customHeight="true" customFormat="true" s="9">
      <c r="A1494" s="16">
        <v>45520</v>
      </c>
      <c r="B1494" s="17" t="s">
        <v>770</v>
      </c>
      <c r="C1494" s="17" t="s">
        <v>731</v>
      </c>
      <c r="D1494" s="17" t="s">
        <v>13</v>
      </c>
      <c r="E1494" s="17" t="s">
        <v>29</v>
      </c>
      <c r="F1494" s="17" t="s">
        <v>489</v>
      </c>
      <c r="G1494" s="17"/>
      <c r="H1494" s="18">
        <v>264.8200</v>
      </c>
      <c r="I1494" s="18">
        <v>0</v>
      </c>
      <c r="J1494" s="18">
        <f ca="1">((J1493 + H1494) - I1494)</f>
        <v>0</v>
      </c>
      <c r="K1494" s="18">
        <v>0</v>
      </c>
      <c r="L1494" s="19">
        <v>0</v>
      </c>
      <c r="M1494" s="17" t="s">
        <v>157</v>
      </c>
    </row>
    <row r="1495" ht="10.95" customHeight="true" customFormat="true" s="9">
      <c r="A1495" s="16">
        <v>45535</v>
      </c>
      <c r="B1495" s="17" t="s">
        <v>770</v>
      </c>
      <c r="C1495" s="17" t="s">
        <v>731</v>
      </c>
      <c r="D1495" s="17" t="s">
        <v>13</v>
      </c>
      <c r="E1495" s="17" t="s">
        <v>154</v>
      </c>
      <c r="F1495" s="17" t="s">
        <v>772</v>
      </c>
      <c r="G1495" s="17" t="s">
        <v>773</v>
      </c>
      <c r="H1495" s="18">
        <v>0</v>
      </c>
      <c r="I1495" s="18">
        <v>1334.0000</v>
      </c>
      <c r="J1495" s="18">
        <f ca="1">((J1494 + H1495) - I1495)</f>
        <v>0</v>
      </c>
      <c r="K1495" s="18">
        <v>0</v>
      </c>
      <c r="L1495" s="19">
        <v>0</v>
      </c>
      <c r="M1495" s="17" t="s">
        <v>157</v>
      </c>
    </row>
    <row r="1496" ht="10.95" customHeight="true" customFormat="true" s="9">
      <c r="A1496" s="16">
        <v>45535</v>
      </c>
      <c r="B1496" s="17" t="s">
        <v>770</v>
      </c>
      <c r="C1496" s="17" t="s">
        <v>731</v>
      </c>
      <c r="D1496" s="17" t="s">
        <v>13</v>
      </c>
      <c r="E1496" s="17" t="s">
        <v>339</v>
      </c>
      <c r="F1496" s="17" t="s">
        <v>734</v>
      </c>
      <c r="G1496" s="17" t="s">
        <v>54</v>
      </c>
      <c r="H1496" s="18">
        <v>250.0000</v>
      </c>
      <c r="I1496" s="18">
        <v>0</v>
      </c>
      <c r="J1496" s="18">
        <f ca="1">((J1495 + H1496) - I1496)</f>
        <v>0</v>
      </c>
      <c r="K1496" s="18">
        <v>0</v>
      </c>
      <c r="L1496" s="19">
        <v>0</v>
      </c>
      <c r="M1496" s="17"/>
    </row>
    <row r="1497" ht="10.95" customHeight="true" customFormat="true" s="9">
      <c r="A1497" s="16">
        <v>45536</v>
      </c>
      <c r="B1497" s="17" t="s">
        <v>770</v>
      </c>
      <c r="C1497" s="17" t="s">
        <v>731</v>
      </c>
      <c r="D1497" s="17" t="s">
        <v>13</v>
      </c>
      <c r="E1497" s="17" t="s">
        <v>339</v>
      </c>
      <c r="F1497" s="17" t="s">
        <v>733</v>
      </c>
      <c r="G1497" s="17" t="s">
        <v>38</v>
      </c>
      <c r="H1497" s="18">
        <v>175.8700</v>
      </c>
      <c r="I1497" s="18">
        <v>0</v>
      </c>
      <c r="J1497" s="18">
        <f ca="1">((J1496 + H1497) - I1497)</f>
        <v>0</v>
      </c>
      <c r="K1497" s="18">
        <v>0</v>
      </c>
      <c r="L1497" s="19">
        <v>0</v>
      </c>
      <c r="M1497" s="17"/>
    </row>
    <row r="1498" ht="10.95" customHeight="true" customFormat="true" s="9">
      <c r="A1498" s="16">
        <v>45565</v>
      </c>
      <c r="B1498" s="17" t="s">
        <v>770</v>
      </c>
      <c r="C1498" s="17" t="s">
        <v>731</v>
      </c>
      <c r="D1498" s="17" t="s">
        <v>13</v>
      </c>
      <c r="E1498" s="17" t="s">
        <v>339</v>
      </c>
      <c r="F1498" s="17" t="s">
        <v>734</v>
      </c>
      <c r="G1498" s="17" t="s">
        <v>58</v>
      </c>
      <c r="H1498" s="18">
        <v>250.0000</v>
      </c>
      <c r="I1498" s="18">
        <v>0</v>
      </c>
      <c r="J1498" s="18">
        <f ca="1">((J1497 + H1498) - I1498)</f>
        <v>0</v>
      </c>
      <c r="K1498" s="18">
        <v>0</v>
      </c>
      <c r="L1498" s="19">
        <v>0</v>
      </c>
      <c r="M1498" s="17"/>
    </row>
    <row r="1499" ht="10.95" customHeight="true" customFormat="true" s="9">
      <c r="A1499" s="16">
        <v>45566</v>
      </c>
      <c r="B1499" s="17" t="s">
        <v>770</v>
      </c>
      <c r="C1499" s="17" t="s">
        <v>731</v>
      </c>
      <c r="D1499" s="17" t="s">
        <v>13</v>
      </c>
      <c r="E1499" s="17" t="s">
        <v>339</v>
      </c>
      <c r="F1499" s="17" t="s">
        <v>733</v>
      </c>
      <c r="G1499" s="17" t="s">
        <v>38</v>
      </c>
      <c r="H1499" s="18">
        <v>175.8700</v>
      </c>
      <c r="I1499" s="18">
        <v>0</v>
      </c>
      <c r="J1499" s="18">
        <f ca="1">((J1498 + H1499) - I1499)</f>
        <v>0</v>
      </c>
      <c r="K1499" s="18">
        <v>0</v>
      </c>
      <c r="L1499" s="19">
        <v>0</v>
      </c>
      <c r="M1499" s="17"/>
    </row>
    <row r="1500" ht="10.95" customHeight="true" customFormat="true" s="9">
      <c r="A1500" s="16">
        <v>45596</v>
      </c>
      <c r="B1500" s="17" t="s">
        <v>770</v>
      </c>
      <c r="C1500" s="17" t="s">
        <v>731</v>
      </c>
      <c r="D1500" s="17" t="s">
        <v>13</v>
      </c>
      <c r="E1500" s="17" t="s">
        <v>339</v>
      </c>
      <c r="F1500" s="17" t="s">
        <v>737</v>
      </c>
      <c r="G1500" s="17" t="s">
        <v>56</v>
      </c>
      <c r="H1500" s="18">
        <v>542.1300</v>
      </c>
      <c r="I1500" s="18">
        <v>0</v>
      </c>
      <c r="J1500" s="18">
        <f ca="1">((J1499 + H1500) - I1500)</f>
        <v>0</v>
      </c>
      <c r="K1500" s="18">
        <v>0</v>
      </c>
      <c r="L1500" s="19">
        <v>0</v>
      </c>
      <c r="M1500" s="17"/>
    </row>
    <row r="1501" ht="10.95" customHeight="true" customFormat="true" s="9">
      <c r="A1501" s="16">
        <v>45596</v>
      </c>
      <c r="B1501" s="17" t="s">
        <v>770</v>
      </c>
      <c r="C1501" s="17" t="s">
        <v>731</v>
      </c>
      <c r="D1501" s="17" t="s">
        <v>13</v>
      </c>
      <c r="E1501" s="17" t="s">
        <v>339</v>
      </c>
      <c r="F1501" s="17" t="s">
        <v>737</v>
      </c>
      <c r="G1501" s="17" t="s">
        <v>57</v>
      </c>
      <c r="H1501" s="18">
        <v>107.9600</v>
      </c>
      <c r="I1501" s="18">
        <v>0</v>
      </c>
      <c r="J1501" s="18">
        <f ca="1">((J1500 + H1501) - I1501)</f>
        <v>0</v>
      </c>
      <c r="K1501" s="18">
        <v>0</v>
      </c>
      <c r="L1501" s="19">
        <v>0</v>
      </c>
      <c r="M1501" s="17"/>
    </row>
    <row r="1502" ht="10.95" customHeight="true" customFormat="true" s="9">
      <c r="A1502" s="16">
        <v>45596</v>
      </c>
      <c r="B1502" s="17" t="s">
        <v>770</v>
      </c>
      <c r="C1502" s="17" t="s">
        <v>731</v>
      </c>
      <c r="D1502" s="17" t="s">
        <v>13</v>
      </c>
      <c r="E1502" s="17" t="s">
        <v>339</v>
      </c>
      <c r="F1502" s="17" t="s">
        <v>734</v>
      </c>
      <c r="G1502" s="17" t="s">
        <v>61</v>
      </c>
      <c r="H1502" s="18">
        <v>250.0000</v>
      </c>
      <c r="I1502" s="18">
        <v>0</v>
      </c>
      <c r="J1502" s="18">
        <f ca="1">((J1501 + H1502) - I1502)</f>
        <v>0</v>
      </c>
      <c r="K1502" s="18">
        <v>0</v>
      </c>
      <c r="L1502" s="19">
        <v>0</v>
      </c>
      <c r="M1502" s="17"/>
    </row>
    <row r="1503" ht="10.95" customHeight="true" customFormat="true" s="9">
      <c r="A1503" s="16">
        <v>45596</v>
      </c>
      <c r="B1503" s="17" t="s">
        <v>770</v>
      </c>
      <c r="C1503" s="17" t="s">
        <v>731</v>
      </c>
      <c r="D1503" s="17" t="s">
        <v>13</v>
      </c>
      <c r="E1503" s="17" t="s">
        <v>339</v>
      </c>
      <c r="F1503" s="17" t="s">
        <v>738</v>
      </c>
      <c r="G1503" s="17" t="s">
        <v>60</v>
      </c>
      <c r="H1503" s="18">
        <v>441.6000</v>
      </c>
      <c r="I1503" s="18">
        <v>0</v>
      </c>
      <c r="J1503" s="18">
        <f ca="1">((J1502 + H1503) - I1503)</f>
        <v>0</v>
      </c>
      <c r="K1503" s="18">
        <v>0</v>
      </c>
      <c r="L1503" s="19">
        <v>0</v>
      </c>
      <c r="M1503" s="17"/>
    </row>
    <row r="1504" ht="10.95" customHeight="true" customFormat="true" s="9">
      <c r="A1504" s="16">
        <v>45597</v>
      </c>
      <c r="B1504" s="17" t="s">
        <v>770</v>
      </c>
      <c r="C1504" s="17" t="s">
        <v>731</v>
      </c>
      <c r="D1504" s="17" t="s">
        <v>13</v>
      </c>
      <c r="E1504" s="17" t="s">
        <v>339</v>
      </c>
      <c r="F1504" s="17" t="s">
        <v>733</v>
      </c>
      <c r="G1504" s="17" t="s">
        <v>38</v>
      </c>
      <c r="H1504" s="18">
        <v>175.8700</v>
      </c>
      <c r="I1504" s="18">
        <v>0</v>
      </c>
      <c r="J1504" s="18">
        <f ca="1">((J1503 + H1504) - I1504)</f>
        <v>0</v>
      </c>
      <c r="K1504" s="18">
        <v>0</v>
      </c>
      <c r="L1504" s="19">
        <v>0</v>
      </c>
      <c r="M1504" s="17"/>
    </row>
    <row r="1505" ht="10.95" customHeight="true" customFormat="true" s="9">
      <c r="A1505" s="16">
        <v>45600</v>
      </c>
      <c r="B1505" s="17" t="s">
        <v>770</v>
      </c>
      <c r="C1505" s="17" t="s">
        <v>731</v>
      </c>
      <c r="D1505" s="17" t="s">
        <v>13</v>
      </c>
      <c r="E1505" s="17" t="s">
        <v>29</v>
      </c>
      <c r="F1505" s="17" t="s">
        <v>774</v>
      </c>
      <c r="G1505" s="17"/>
      <c r="H1505" s="18">
        <v>0</v>
      </c>
      <c r="I1505" s="18">
        <v>1543.0000</v>
      </c>
      <c r="J1505" s="18">
        <f ca="1">((J1504 + H1505) - I1505)</f>
        <v>0</v>
      </c>
      <c r="K1505" s="18">
        <v>0</v>
      </c>
      <c r="L1505" s="19">
        <v>0</v>
      </c>
      <c r="M1505" s="17" t="s">
        <v>157</v>
      </c>
    </row>
    <row r="1506" ht="10.95" customHeight="true" customFormat="true" s="9">
      <c r="A1506" s="16">
        <v>45626</v>
      </c>
      <c r="B1506" s="17" t="s">
        <v>770</v>
      </c>
      <c r="C1506" s="17" t="s">
        <v>731</v>
      </c>
      <c r="D1506" s="17" t="s">
        <v>13</v>
      </c>
      <c r="E1506" s="17" t="s">
        <v>339</v>
      </c>
      <c r="F1506" s="17" t="s">
        <v>734</v>
      </c>
      <c r="G1506" s="17" t="s">
        <v>62</v>
      </c>
      <c r="H1506" s="18">
        <v>250.0000</v>
      </c>
      <c r="I1506" s="18">
        <v>0</v>
      </c>
      <c r="J1506" s="18">
        <f ca="1">((J1505 + H1506) - I1506)</f>
        <v>0</v>
      </c>
      <c r="K1506" s="18">
        <v>0</v>
      </c>
      <c r="L1506" s="19">
        <v>0</v>
      </c>
      <c r="M1506" s="17"/>
    </row>
    <row r="1507" ht="10.95" customHeight="true" customFormat="true" s="9">
      <c r="A1507" s="16">
        <v>45627</v>
      </c>
      <c r="B1507" s="17" t="s">
        <v>770</v>
      </c>
      <c r="C1507" s="17" t="s">
        <v>731</v>
      </c>
      <c r="D1507" s="17" t="s">
        <v>13</v>
      </c>
      <c r="E1507" s="17" t="s">
        <v>339</v>
      </c>
      <c r="F1507" s="17" t="s">
        <v>733</v>
      </c>
      <c r="G1507" s="17" t="s">
        <v>38</v>
      </c>
      <c r="H1507" s="18">
        <v>175.8700</v>
      </c>
      <c r="I1507" s="18">
        <v>0</v>
      </c>
      <c r="J1507" s="18">
        <f ca="1">((J1506 + H1507) - I1507)</f>
        <v>0</v>
      </c>
      <c r="K1507" s="18">
        <v>0</v>
      </c>
      <c r="L1507" s="19">
        <v>0</v>
      </c>
      <c r="M1507" s="17"/>
    </row>
    <row r="1508" ht="10.95" customHeight="true" customFormat="true" s="9">
      <c r="A1508" s="16">
        <v>45657</v>
      </c>
      <c r="B1508" s="17" t="s">
        <v>770</v>
      </c>
      <c r="C1508" s="17" t="s">
        <v>731</v>
      </c>
      <c r="D1508" s="17" t="s">
        <v>13</v>
      </c>
      <c r="E1508" s="17" t="s">
        <v>339</v>
      </c>
      <c r="F1508" s="17" t="s">
        <v>734</v>
      </c>
      <c r="G1508" s="17" t="s">
        <v>63</v>
      </c>
      <c r="H1508" s="18">
        <v>250.0000</v>
      </c>
      <c r="I1508" s="18">
        <v>0</v>
      </c>
      <c r="J1508" s="18">
        <f ca="1">((J1507 + H1508) - I1508)</f>
        <v>0</v>
      </c>
      <c r="K1508" s="18">
        <v>0</v>
      </c>
      <c r="L1508" s="19">
        <v>0</v>
      </c>
      <c r="M1508" s="17"/>
    </row>
    <row r="1509" ht="10.95" customHeight="true" customFormat="true" s="9">
      <c r="A1509" s="16">
        <v>45658</v>
      </c>
      <c r="B1509" s="17" t="s">
        <v>770</v>
      </c>
      <c r="C1509" s="17" t="s">
        <v>731</v>
      </c>
      <c r="D1509" s="17" t="s">
        <v>13</v>
      </c>
      <c r="E1509" s="17" t="s">
        <v>339</v>
      </c>
      <c r="F1509" s="17" t="s">
        <v>733</v>
      </c>
      <c r="G1509" s="17" t="s">
        <v>38</v>
      </c>
      <c r="H1509" s="18">
        <v>175.8700</v>
      </c>
      <c r="I1509" s="18">
        <v>0</v>
      </c>
      <c r="J1509" s="18">
        <f ca="1">((J1508 + H1509) - I1509)</f>
        <v>0</v>
      </c>
      <c r="K1509" s="18">
        <v>0</v>
      </c>
      <c r="L1509" s="19">
        <v>0</v>
      </c>
      <c r="M1509" s="17"/>
    </row>
    <row r="1510" ht="10.95" customHeight="true" customFormat="true" s="9">
      <c r="A1510" s="16">
        <v>45683</v>
      </c>
      <c r="B1510" s="17" t="s">
        <v>770</v>
      </c>
      <c r="C1510" s="17" t="s">
        <v>731</v>
      </c>
      <c r="D1510" s="17" t="s">
        <v>13</v>
      </c>
      <c r="E1510" s="17" t="s">
        <v>29</v>
      </c>
      <c r="F1510" s="17" t="s">
        <v>771</v>
      </c>
      <c r="G1510" s="17"/>
      <c r="H1510" s="18">
        <v>0</v>
      </c>
      <c r="I1510" s="18">
        <v>2369.0000</v>
      </c>
      <c r="J1510" s="18">
        <f ca="1">((J1509 + H1510) - I1510)</f>
        <v>0</v>
      </c>
      <c r="K1510" s="18">
        <v>0</v>
      </c>
      <c r="L1510" s="19">
        <v>0</v>
      </c>
      <c r="M1510" s="17" t="s">
        <v>157</v>
      </c>
    </row>
    <row r="1511" ht="10.95" customHeight="true" customFormat="true" s="9">
      <c r="A1511" s="16">
        <v>45688</v>
      </c>
      <c r="B1511" s="17" t="s">
        <v>770</v>
      </c>
      <c r="C1511" s="17" t="s">
        <v>731</v>
      </c>
      <c r="D1511" s="17" t="s">
        <v>13</v>
      </c>
      <c r="E1511" s="17" t="s">
        <v>339</v>
      </c>
      <c r="F1511" s="17" t="s">
        <v>734</v>
      </c>
      <c r="G1511" s="17" t="s">
        <v>66</v>
      </c>
      <c r="H1511" s="18">
        <v>250.0000</v>
      </c>
      <c r="I1511" s="18">
        <v>0</v>
      </c>
      <c r="J1511" s="18">
        <f ca="1">((J1510 + H1511) - I1511)</f>
        <v>0</v>
      </c>
      <c r="K1511" s="18">
        <v>0</v>
      </c>
      <c r="L1511" s="19">
        <v>0</v>
      </c>
      <c r="M1511" s="17"/>
    </row>
    <row r="1512" ht="10.95" customHeight="true" customFormat="true" s="9">
      <c r="A1512" s="16">
        <v>45689</v>
      </c>
      <c r="B1512" s="17" t="s">
        <v>770</v>
      </c>
      <c r="C1512" s="17" t="s">
        <v>731</v>
      </c>
      <c r="D1512" s="17" t="s">
        <v>13</v>
      </c>
      <c r="E1512" s="17" t="s">
        <v>339</v>
      </c>
      <c r="F1512" s="17" t="s">
        <v>733</v>
      </c>
      <c r="G1512" s="17" t="s">
        <v>38</v>
      </c>
      <c r="H1512" s="18">
        <v>194.1800</v>
      </c>
      <c r="I1512" s="18">
        <v>0</v>
      </c>
      <c r="J1512" s="18">
        <f ca="1">((J1511 + H1512) - I1512)</f>
        <v>0</v>
      </c>
      <c r="K1512" s="18">
        <v>0</v>
      </c>
      <c r="L1512" s="19">
        <v>0</v>
      </c>
      <c r="M1512" s="17"/>
    </row>
    <row r="1513" ht="10.95" customHeight="true" customFormat="true" s="9">
      <c r="A1513" s="16">
        <v>45716</v>
      </c>
      <c r="B1513" s="17" t="s">
        <v>770</v>
      </c>
      <c r="C1513" s="17" t="s">
        <v>731</v>
      </c>
      <c r="D1513" s="17" t="s">
        <v>13</v>
      </c>
      <c r="E1513" s="17" t="s">
        <v>339</v>
      </c>
      <c r="F1513" s="17" t="s">
        <v>739</v>
      </c>
      <c r="G1513" s="17" t="s">
        <v>65</v>
      </c>
      <c r="H1513" s="18">
        <v>103.2600</v>
      </c>
      <c r="I1513" s="18">
        <v>0</v>
      </c>
      <c r="J1513" s="18">
        <f ca="1">((J1512 + H1513) - I1513)</f>
        <v>0</v>
      </c>
      <c r="K1513" s="18">
        <v>0</v>
      </c>
      <c r="L1513" s="19">
        <v>0</v>
      </c>
      <c r="M1513" s="17"/>
    </row>
    <row r="1514" ht="10.95" customHeight="true" customFormat="true" s="9">
      <c r="A1514" s="16">
        <v>45716</v>
      </c>
      <c r="B1514" s="17" t="s">
        <v>770</v>
      </c>
      <c r="C1514" s="17" t="s">
        <v>731</v>
      </c>
      <c r="D1514" s="17" t="s">
        <v>13</v>
      </c>
      <c r="E1514" s="17" t="s">
        <v>339</v>
      </c>
      <c r="F1514" s="17" t="s">
        <v>734</v>
      </c>
      <c r="G1514" s="17" t="s">
        <v>351</v>
      </c>
      <c r="H1514" s="18">
        <v>250.0000</v>
      </c>
      <c r="I1514" s="18">
        <v>0</v>
      </c>
      <c r="J1514" s="18">
        <f ca="1">((J1513 + H1514) - I1514)</f>
        <v>0</v>
      </c>
      <c r="K1514" s="18">
        <v>0</v>
      </c>
      <c r="L1514" s="19">
        <v>0</v>
      </c>
      <c r="M1514" s="17"/>
    </row>
    <row r="1515" ht="10.95" customHeight="true" customFormat="true" s="9">
      <c r="A1515" s="16">
        <v>45717</v>
      </c>
      <c r="B1515" s="17" t="s">
        <v>770</v>
      </c>
      <c r="C1515" s="17" t="s">
        <v>731</v>
      </c>
      <c r="D1515" s="17" t="s">
        <v>13</v>
      </c>
      <c r="E1515" s="17" t="s">
        <v>339</v>
      </c>
      <c r="F1515" s="17" t="s">
        <v>733</v>
      </c>
      <c r="G1515" s="17" t="s">
        <v>38</v>
      </c>
      <c r="H1515" s="18">
        <v>194.1800</v>
      </c>
      <c r="I1515" s="18">
        <v>0</v>
      </c>
      <c r="J1515" s="18">
        <f ca="1">((J1514 + H1515) - I1515)</f>
        <v>0</v>
      </c>
      <c r="K1515" s="18">
        <v>0</v>
      </c>
      <c r="L1515" s="19">
        <v>0</v>
      </c>
      <c r="M1515" s="17"/>
    </row>
    <row r="1516" ht="10.95" customHeight="true" customFormat="true" s="9">
      <c r="A1516" s="16">
        <v>45747</v>
      </c>
      <c r="B1516" s="17" t="s">
        <v>770</v>
      </c>
      <c r="C1516" s="17" t="s">
        <v>731</v>
      </c>
      <c r="D1516" s="17" t="s">
        <v>13</v>
      </c>
      <c r="E1516" s="17" t="s">
        <v>339</v>
      </c>
      <c r="F1516" s="17" t="s">
        <v>734</v>
      </c>
      <c r="G1516" s="17" t="s">
        <v>353</v>
      </c>
      <c r="H1516" s="18">
        <v>250.0000</v>
      </c>
      <c r="I1516" s="18">
        <v>0</v>
      </c>
      <c r="J1516" s="18">
        <f ca="1">((J1515 + H1516) - I1516)</f>
        <v>0</v>
      </c>
      <c r="K1516" s="18">
        <v>0</v>
      </c>
      <c r="L1516" s="19">
        <v>0</v>
      </c>
      <c r="M1516" s="17"/>
    </row>
    <row r="1517" ht="10.95" customHeight="true" customFormat="true" s="9">
      <c r="A1517" s="20" t="s">
        <v>775</v>
      </c>
      <c r="B1517" s="20"/>
      <c r="C1517" s="20"/>
      <c r="D1517" s="20"/>
      <c r="E1517" s="20"/>
      <c r="F1517" s="20"/>
      <c r="G1517" s="20"/>
      <c r="H1517" s="21">
        <f ca="1">SUM(H1483:H1516)</f>
        <v>0</v>
      </c>
      <c r="I1517" s="21">
        <f ca="1">SUM(I1483:I1516)</f>
        <v>0</v>
      </c>
      <c r="J1517" s="21">
        <f ca="1">J1516</f>
        <v>0</v>
      </c>
      <c r="K1517" s="21">
        <f ca="1">SUM(K1483:K1516)</f>
        <v>0</v>
      </c>
      <c r="L1517" s="20"/>
      <c r="M1517" s="20"/>
    </row>
    <row r="1518" ht="10.95" customHeight="true" customFormat="true" s="9">
      <c r="A1518" s="20" t="s">
        <v>25</v>
      </c>
      <c r="B1518" s="20"/>
      <c r="C1518" s="20"/>
      <c r="D1518" s="20"/>
      <c r="E1518" s="20"/>
      <c r="F1518" s="20"/>
      <c r="G1518" s="20"/>
      <c r="H1518" s="21">
        <v>345.5600</v>
      </c>
      <c r="I1518" s="21">
        <v>0</v>
      </c>
      <c r="J1518" s="21">
        <v>0</v>
      </c>
      <c r="K1518" s="21">
        <v>0</v>
      </c>
      <c r="L1518" s="20"/>
      <c r="M1518" s="20"/>
    </row>
    <row r="1519" ht="10.95" customHeight="true" customFormat="true" s="9">
      <c r="A1519" s="10" t="s">
        <v>26</v>
      </c>
      <c r="B1519" s="10"/>
      <c r="C1519" s="10"/>
      <c r="D1519" s="10"/>
      <c r="E1519" s="10"/>
      <c r="F1519" s="10"/>
      <c r="G1519" s="10"/>
      <c r="H1519" s="11">
        <v>1417.6000</v>
      </c>
      <c r="I1519" s="11">
        <v>0</v>
      </c>
      <c r="J1519" s="11">
        <f ca="1">J1516</f>
        <v>0</v>
      </c>
      <c r="K1519" s="11">
        <v>0</v>
      </c>
      <c r="L1519" s="10"/>
      <c r="M1519" s="10"/>
    </row>
    <row r="1520" ht="13.35" customHeight="true"/>
    <row r="1521" ht="12.1" customHeight="true" customFormat="true" s="5">
      <c r="A1521" s="8" t="s">
        <v>776</v>
      </c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</row>
    <row r="1522" ht="10.95" customHeight="true" customFormat="true" s="9">
      <c r="A1522" s="10" t="s">
        <v>17</v>
      </c>
      <c r="B1522" s="10"/>
      <c r="C1522" s="10"/>
      <c r="D1522" s="10"/>
      <c r="E1522" s="10"/>
      <c r="F1522" s="10"/>
      <c r="G1522" s="10"/>
      <c r="H1522" s="11">
        <v>0</v>
      </c>
      <c r="I1522" s="11">
        <v>19859.9900</v>
      </c>
      <c r="J1522" s="11">
        <f ca="1">(H1522 - I1522)</f>
        <v>0</v>
      </c>
      <c r="K1522" s="11">
        <v>0</v>
      </c>
      <c r="L1522" s="10"/>
      <c r="M1522" s="10"/>
    </row>
    <row r="1523" ht="10.95" customHeight="true" customFormat="true" s="9">
      <c r="A1523" s="12">
        <v>45409</v>
      </c>
      <c r="B1523" s="13" t="s">
        <v>777</v>
      </c>
      <c r="C1523" s="13" t="s">
        <v>731</v>
      </c>
      <c r="D1523" s="13" t="s">
        <v>778</v>
      </c>
      <c r="E1523" s="13" t="s">
        <v>465</v>
      </c>
      <c r="F1523" s="13" t="s">
        <v>779</v>
      </c>
      <c r="G1523" s="13" t="s">
        <v>467</v>
      </c>
      <c r="H1523" s="14">
        <v>0</v>
      </c>
      <c r="I1523" s="14">
        <v>7410.0000</v>
      </c>
      <c r="J1523" s="14">
        <f ca="1">((J1522 + H1523) - I1523)</f>
        <v>0</v>
      </c>
      <c r="K1523" s="14">
        <v>0</v>
      </c>
      <c r="L1523" s="15">
        <v>0</v>
      </c>
      <c r="M1523" s="13" t="s">
        <v>157</v>
      </c>
    </row>
    <row r="1524" ht="10.95" customHeight="true" customFormat="true" s="9">
      <c r="A1524" s="16">
        <v>45411</v>
      </c>
      <c r="B1524" s="17" t="s">
        <v>777</v>
      </c>
      <c r="C1524" s="17" t="s">
        <v>731</v>
      </c>
      <c r="D1524" s="17" t="s">
        <v>778</v>
      </c>
      <c r="E1524" s="17" t="s">
        <v>29</v>
      </c>
      <c r="F1524" s="17" t="s">
        <v>780</v>
      </c>
      <c r="G1524" s="17"/>
      <c r="H1524" s="18">
        <v>19860.0000</v>
      </c>
      <c r="I1524" s="18">
        <v>0</v>
      </c>
      <c r="J1524" s="18">
        <f ca="1">((J1523 + H1524) - I1524)</f>
        <v>0</v>
      </c>
      <c r="K1524" s="18">
        <v>0</v>
      </c>
      <c r="L1524" s="19">
        <v>0</v>
      </c>
      <c r="M1524" s="17" t="s">
        <v>157</v>
      </c>
    </row>
    <row r="1525" ht="10.95" customHeight="true" customFormat="true" s="9">
      <c r="A1525" s="16">
        <v>45428</v>
      </c>
      <c r="B1525" s="17" t="s">
        <v>777</v>
      </c>
      <c r="C1525" s="17" t="s">
        <v>731</v>
      </c>
      <c r="D1525" s="17" t="s">
        <v>778</v>
      </c>
      <c r="E1525" s="17" t="s">
        <v>29</v>
      </c>
      <c r="F1525" s="17" t="s">
        <v>781</v>
      </c>
      <c r="G1525" s="17"/>
      <c r="H1525" s="18">
        <v>7410.0000</v>
      </c>
      <c r="I1525" s="18">
        <v>0</v>
      </c>
      <c r="J1525" s="18">
        <f ca="1">((J1524 + H1525) - I1525)</f>
        <v>0</v>
      </c>
      <c r="K1525" s="18">
        <v>0</v>
      </c>
      <c r="L1525" s="19">
        <v>0</v>
      </c>
      <c r="M1525" s="17" t="s">
        <v>157</v>
      </c>
    </row>
    <row r="1526" ht="10.95" customHeight="true" customFormat="true" s="9">
      <c r="A1526" s="16">
        <v>45440</v>
      </c>
      <c r="B1526" s="17" t="s">
        <v>777</v>
      </c>
      <c r="C1526" s="17" t="s">
        <v>731</v>
      </c>
      <c r="D1526" s="17" t="s">
        <v>778</v>
      </c>
      <c r="E1526" s="17" t="s">
        <v>465</v>
      </c>
      <c r="F1526" s="17" t="s">
        <v>779</v>
      </c>
      <c r="G1526" s="17" t="s">
        <v>468</v>
      </c>
      <c r="H1526" s="18">
        <v>0</v>
      </c>
      <c r="I1526" s="18">
        <v>7419.0000</v>
      </c>
      <c r="J1526" s="18">
        <f ca="1">((J1525 + H1526) - I1526)</f>
        <v>0</v>
      </c>
      <c r="K1526" s="18">
        <v>0</v>
      </c>
      <c r="L1526" s="19">
        <v>0</v>
      </c>
      <c r="M1526" s="17" t="s">
        <v>157</v>
      </c>
    </row>
    <row r="1527" ht="10.95" customHeight="true" customFormat="true" s="9">
      <c r="A1527" s="16">
        <v>45463</v>
      </c>
      <c r="B1527" s="17" t="s">
        <v>777</v>
      </c>
      <c r="C1527" s="17" t="s">
        <v>731</v>
      </c>
      <c r="D1527" s="17" t="s">
        <v>778</v>
      </c>
      <c r="E1527" s="17" t="s">
        <v>29</v>
      </c>
      <c r="F1527" s="17" t="s">
        <v>781</v>
      </c>
      <c r="G1527" s="17"/>
      <c r="H1527" s="18">
        <v>7419.0000</v>
      </c>
      <c r="I1527" s="18">
        <v>0</v>
      </c>
      <c r="J1527" s="18">
        <f ca="1">((J1526 + H1527) - I1527)</f>
        <v>0</v>
      </c>
      <c r="K1527" s="18">
        <v>0</v>
      </c>
      <c r="L1527" s="19">
        <v>0</v>
      </c>
      <c r="M1527" s="17" t="s">
        <v>157</v>
      </c>
    </row>
    <row r="1528" ht="10.95" customHeight="true" customFormat="true" s="9">
      <c r="A1528" s="16">
        <v>45470</v>
      </c>
      <c r="B1528" s="17" t="s">
        <v>777</v>
      </c>
      <c r="C1528" s="17" t="s">
        <v>731</v>
      </c>
      <c r="D1528" s="17" t="s">
        <v>778</v>
      </c>
      <c r="E1528" s="17" t="s">
        <v>465</v>
      </c>
      <c r="F1528" s="17" t="s">
        <v>779</v>
      </c>
      <c r="G1528" s="17" t="s">
        <v>469</v>
      </c>
      <c r="H1528" s="18">
        <v>0</v>
      </c>
      <c r="I1528" s="18">
        <v>8502.0000</v>
      </c>
      <c r="J1528" s="18">
        <f ca="1">((J1527 + H1528) - I1528)</f>
        <v>0</v>
      </c>
      <c r="K1528" s="18">
        <v>0</v>
      </c>
      <c r="L1528" s="19">
        <v>0</v>
      </c>
      <c r="M1528" s="17" t="s">
        <v>157</v>
      </c>
    </row>
    <row r="1529" ht="10.95" customHeight="true" customFormat="true" s="9">
      <c r="A1529" s="16">
        <v>45501</v>
      </c>
      <c r="B1529" s="17" t="s">
        <v>777</v>
      </c>
      <c r="C1529" s="17" t="s">
        <v>731</v>
      </c>
      <c r="D1529" s="17" t="s">
        <v>778</v>
      </c>
      <c r="E1529" s="17" t="s">
        <v>465</v>
      </c>
      <c r="F1529" s="17" t="s">
        <v>779</v>
      </c>
      <c r="G1529" s="17" t="s">
        <v>470</v>
      </c>
      <c r="H1529" s="18">
        <v>0</v>
      </c>
      <c r="I1529" s="18">
        <v>6807.0000</v>
      </c>
      <c r="J1529" s="18">
        <f ca="1">((J1528 + H1529) - I1529)</f>
        <v>0</v>
      </c>
      <c r="K1529" s="18">
        <v>0</v>
      </c>
      <c r="L1529" s="19">
        <v>0</v>
      </c>
      <c r="M1529" s="17" t="s">
        <v>157</v>
      </c>
    </row>
    <row r="1530" ht="10.95" customHeight="true" customFormat="true" s="9">
      <c r="A1530" s="16">
        <v>45520</v>
      </c>
      <c r="B1530" s="17" t="s">
        <v>777</v>
      </c>
      <c r="C1530" s="17" t="s">
        <v>731</v>
      </c>
      <c r="D1530" s="17" t="s">
        <v>778</v>
      </c>
      <c r="E1530" s="17" t="s">
        <v>29</v>
      </c>
      <c r="F1530" s="17" t="s">
        <v>782</v>
      </c>
      <c r="G1530" s="17"/>
      <c r="H1530" s="18">
        <v>6807.0000</v>
      </c>
      <c r="I1530" s="18">
        <v>0</v>
      </c>
      <c r="J1530" s="18">
        <f ca="1">((J1529 + H1530) - I1530)</f>
        <v>0</v>
      </c>
      <c r="K1530" s="18">
        <v>0</v>
      </c>
      <c r="L1530" s="19">
        <v>0</v>
      </c>
      <c r="M1530" s="17" t="s">
        <v>157</v>
      </c>
    </row>
    <row r="1531" ht="10.95" customHeight="true" customFormat="true" s="9">
      <c r="A1531" s="16">
        <v>45527</v>
      </c>
      <c r="B1531" s="17" t="s">
        <v>777</v>
      </c>
      <c r="C1531" s="17" t="s">
        <v>731</v>
      </c>
      <c r="D1531" s="17" t="s">
        <v>778</v>
      </c>
      <c r="E1531" s="17" t="s">
        <v>29</v>
      </c>
      <c r="F1531" s="17" t="s">
        <v>774</v>
      </c>
      <c r="G1531" s="17"/>
      <c r="H1531" s="18">
        <v>7168.0000</v>
      </c>
      <c r="I1531" s="18">
        <v>0</v>
      </c>
      <c r="J1531" s="18">
        <f ca="1">((J1530 + H1531) - I1531)</f>
        <v>0</v>
      </c>
      <c r="K1531" s="18">
        <v>0</v>
      </c>
      <c r="L1531" s="19">
        <v>0</v>
      </c>
      <c r="M1531" s="17" t="s">
        <v>157</v>
      </c>
    </row>
    <row r="1532" ht="10.95" customHeight="true" customFormat="true" s="9">
      <c r="A1532" s="16">
        <v>45532</v>
      </c>
      <c r="B1532" s="17" t="s">
        <v>777</v>
      </c>
      <c r="C1532" s="17" t="s">
        <v>731</v>
      </c>
      <c r="D1532" s="17" t="s">
        <v>778</v>
      </c>
      <c r="E1532" s="17" t="s">
        <v>465</v>
      </c>
      <c r="F1532" s="17" t="s">
        <v>779</v>
      </c>
      <c r="G1532" s="17" t="s">
        <v>471</v>
      </c>
      <c r="H1532" s="18">
        <v>0</v>
      </c>
      <c r="I1532" s="18">
        <v>6807.0000</v>
      </c>
      <c r="J1532" s="18">
        <f ca="1">((J1531 + H1532) - I1532)</f>
        <v>0</v>
      </c>
      <c r="K1532" s="18">
        <v>0</v>
      </c>
      <c r="L1532" s="19">
        <v>0</v>
      </c>
      <c r="M1532" s="17" t="s">
        <v>157</v>
      </c>
    </row>
    <row r="1533" ht="10.95" customHeight="true" customFormat="true" s="9">
      <c r="A1533" s="16">
        <v>45535</v>
      </c>
      <c r="B1533" s="17" t="s">
        <v>777</v>
      </c>
      <c r="C1533" s="17" t="s">
        <v>731</v>
      </c>
      <c r="D1533" s="17" t="s">
        <v>778</v>
      </c>
      <c r="E1533" s="17" t="s">
        <v>154</v>
      </c>
      <c r="F1533" s="17" t="s">
        <v>772</v>
      </c>
      <c r="G1533" s="17" t="s">
        <v>773</v>
      </c>
      <c r="H1533" s="18">
        <v>1334.0000</v>
      </c>
      <c r="I1533" s="18">
        <v>0</v>
      </c>
      <c r="J1533" s="18">
        <f ca="1">((J1532 + H1533) - I1533)</f>
        <v>0</v>
      </c>
      <c r="K1533" s="18">
        <v>0</v>
      </c>
      <c r="L1533" s="19">
        <v>0</v>
      </c>
      <c r="M1533" s="17" t="s">
        <v>157</v>
      </c>
    </row>
    <row r="1534" ht="10.95" customHeight="true" customFormat="true" s="9">
      <c r="A1534" s="16">
        <v>45546</v>
      </c>
      <c r="B1534" s="17" t="s">
        <v>777</v>
      </c>
      <c r="C1534" s="17" t="s">
        <v>731</v>
      </c>
      <c r="D1534" s="17" t="s">
        <v>778</v>
      </c>
      <c r="E1534" s="17" t="s">
        <v>29</v>
      </c>
      <c r="F1534" s="17" t="s">
        <v>782</v>
      </c>
      <c r="G1534" s="17"/>
      <c r="H1534" s="18">
        <v>6807.0000</v>
      </c>
      <c r="I1534" s="18">
        <v>0</v>
      </c>
      <c r="J1534" s="18">
        <f ca="1">((J1533 + H1534) - I1534)</f>
        <v>0</v>
      </c>
      <c r="K1534" s="18">
        <v>0</v>
      </c>
      <c r="L1534" s="19">
        <v>0</v>
      </c>
      <c r="M1534" s="17" t="s">
        <v>157</v>
      </c>
    </row>
    <row r="1535" ht="10.95" customHeight="true" customFormat="true" s="9">
      <c r="A1535" s="16">
        <v>45562</v>
      </c>
      <c r="B1535" s="17" t="s">
        <v>777</v>
      </c>
      <c r="C1535" s="17" t="s">
        <v>731</v>
      </c>
      <c r="D1535" s="17" t="s">
        <v>778</v>
      </c>
      <c r="E1535" s="17" t="s">
        <v>465</v>
      </c>
      <c r="F1535" s="17" t="s">
        <v>779</v>
      </c>
      <c r="G1535" s="17" t="s">
        <v>472</v>
      </c>
      <c r="H1535" s="18">
        <v>0</v>
      </c>
      <c r="I1535" s="18">
        <v>6807.0000</v>
      </c>
      <c r="J1535" s="18">
        <f ca="1">((J1534 + H1535) - I1535)</f>
        <v>0</v>
      </c>
      <c r="K1535" s="18">
        <v>0</v>
      </c>
      <c r="L1535" s="19">
        <v>0</v>
      </c>
      <c r="M1535" s="17" t="s">
        <v>157</v>
      </c>
    </row>
    <row r="1536" ht="10.95" customHeight="true" customFormat="true" s="9">
      <c r="A1536" s="16">
        <v>45593</v>
      </c>
      <c r="B1536" s="17" t="s">
        <v>777</v>
      </c>
      <c r="C1536" s="17" t="s">
        <v>731</v>
      </c>
      <c r="D1536" s="17" t="s">
        <v>778</v>
      </c>
      <c r="E1536" s="17" t="s">
        <v>465</v>
      </c>
      <c r="F1536" s="17" t="s">
        <v>779</v>
      </c>
      <c r="G1536" s="17" t="s">
        <v>473</v>
      </c>
      <c r="H1536" s="18">
        <v>0</v>
      </c>
      <c r="I1536" s="18">
        <v>19630.0000</v>
      </c>
      <c r="J1536" s="18">
        <f ca="1">((J1535 + H1536) - I1536)</f>
        <v>0</v>
      </c>
      <c r="K1536" s="18">
        <v>0</v>
      </c>
      <c r="L1536" s="19">
        <v>0</v>
      </c>
      <c r="M1536" s="17" t="s">
        <v>157</v>
      </c>
    </row>
    <row r="1537" ht="10.95" customHeight="true" customFormat="true" s="9">
      <c r="A1537" s="16">
        <v>45600</v>
      </c>
      <c r="B1537" s="17" t="s">
        <v>777</v>
      </c>
      <c r="C1537" s="17" t="s">
        <v>731</v>
      </c>
      <c r="D1537" s="17" t="s">
        <v>778</v>
      </c>
      <c r="E1537" s="17" t="s">
        <v>29</v>
      </c>
      <c r="F1537" s="17" t="s">
        <v>774</v>
      </c>
      <c r="G1537" s="17"/>
      <c r="H1537" s="18">
        <v>6807.0000</v>
      </c>
      <c r="I1537" s="18">
        <v>0</v>
      </c>
      <c r="J1537" s="18">
        <f ca="1">((J1536 + H1537) - I1537)</f>
        <v>0</v>
      </c>
      <c r="K1537" s="18">
        <v>0</v>
      </c>
      <c r="L1537" s="19">
        <v>0</v>
      </c>
      <c r="M1537" s="17" t="s">
        <v>157</v>
      </c>
    </row>
    <row r="1538" ht="10.95" customHeight="true" customFormat="true" s="9">
      <c r="A1538" s="16">
        <v>45615</v>
      </c>
      <c r="B1538" s="17" t="s">
        <v>777</v>
      </c>
      <c r="C1538" s="17" t="s">
        <v>731</v>
      </c>
      <c r="D1538" s="17" t="s">
        <v>778</v>
      </c>
      <c r="E1538" s="17" t="s">
        <v>29</v>
      </c>
      <c r="F1538" s="17" t="s">
        <v>783</v>
      </c>
      <c r="G1538" s="17"/>
      <c r="H1538" s="18">
        <v>19630.0000</v>
      </c>
      <c r="I1538" s="18">
        <v>0</v>
      </c>
      <c r="J1538" s="18">
        <f ca="1">((J1537 + H1538) - I1538)</f>
        <v>0</v>
      </c>
      <c r="K1538" s="18">
        <v>0</v>
      </c>
      <c r="L1538" s="19">
        <v>0</v>
      </c>
      <c r="M1538" s="17" t="s">
        <v>157</v>
      </c>
    </row>
    <row r="1539" ht="10.95" customHeight="true" customFormat="true" s="9">
      <c r="A1539" s="16">
        <v>45623</v>
      </c>
      <c r="B1539" s="17" t="s">
        <v>777</v>
      </c>
      <c r="C1539" s="17" t="s">
        <v>731</v>
      </c>
      <c r="D1539" s="17" t="s">
        <v>778</v>
      </c>
      <c r="E1539" s="17" t="s">
        <v>465</v>
      </c>
      <c r="F1539" s="17" t="s">
        <v>779</v>
      </c>
      <c r="G1539" s="17" t="s">
        <v>474</v>
      </c>
      <c r="H1539" s="18">
        <v>0</v>
      </c>
      <c r="I1539" s="18">
        <v>7050.0000</v>
      </c>
      <c r="J1539" s="18">
        <f ca="1">((J1538 + H1539) - I1539)</f>
        <v>0</v>
      </c>
      <c r="K1539" s="18">
        <v>0</v>
      </c>
      <c r="L1539" s="19">
        <v>0</v>
      </c>
      <c r="M1539" s="17" t="s">
        <v>157</v>
      </c>
    </row>
    <row r="1540" ht="10.95" customHeight="true" customFormat="true" s="9">
      <c r="A1540" s="16">
        <v>45629</v>
      </c>
      <c r="B1540" s="17" t="s">
        <v>777</v>
      </c>
      <c r="C1540" s="17" t="s">
        <v>731</v>
      </c>
      <c r="D1540" s="17" t="s">
        <v>778</v>
      </c>
      <c r="E1540" s="17" t="s">
        <v>29</v>
      </c>
      <c r="F1540" s="17" t="s">
        <v>781</v>
      </c>
      <c r="G1540" s="17"/>
      <c r="H1540" s="18">
        <v>7050.0000</v>
      </c>
      <c r="I1540" s="18">
        <v>0</v>
      </c>
      <c r="J1540" s="18">
        <f ca="1">((J1539 + H1540) - I1540)</f>
        <v>0</v>
      </c>
      <c r="K1540" s="18">
        <v>0</v>
      </c>
      <c r="L1540" s="19">
        <v>0</v>
      </c>
      <c r="M1540" s="17" t="s">
        <v>157</v>
      </c>
    </row>
    <row r="1541" ht="10.95" customHeight="true" customFormat="true" s="9">
      <c r="A1541" s="16">
        <v>45654</v>
      </c>
      <c r="B1541" s="17" t="s">
        <v>777</v>
      </c>
      <c r="C1541" s="17" t="s">
        <v>731</v>
      </c>
      <c r="D1541" s="17" t="s">
        <v>778</v>
      </c>
      <c r="E1541" s="17" t="s">
        <v>465</v>
      </c>
      <c r="F1541" s="17" t="s">
        <v>779</v>
      </c>
      <c r="G1541" s="17" t="s">
        <v>475</v>
      </c>
      <c r="H1541" s="18">
        <v>0</v>
      </c>
      <c r="I1541" s="18">
        <v>8017.0000</v>
      </c>
      <c r="J1541" s="18">
        <f ca="1">((J1540 + H1541) - I1541)</f>
        <v>0</v>
      </c>
      <c r="K1541" s="18">
        <v>0</v>
      </c>
      <c r="L1541" s="19">
        <v>0</v>
      </c>
      <c r="M1541" s="17" t="s">
        <v>157</v>
      </c>
    </row>
    <row r="1542" ht="10.95" customHeight="true" customFormat="true" s="9">
      <c r="A1542" s="16">
        <v>45683</v>
      </c>
      <c r="B1542" s="17" t="s">
        <v>777</v>
      </c>
      <c r="C1542" s="17" t="s">
        <v>731</v>
      </c>
      <c r="D1542" s="17" t="s">
        <v>778</v>
      </c>
      <c r="E1542" s="17" t="s">
        <v>29</v>
      </c>
      <c r="F1542" s="17" t="s">
        <v>780</v>
      </c>
      <c r="G1542" s="17"/>
      <c r="H1542" s="18">
        <v>8017.0000</v>
      </c>
      <c r="I1542" s="18">
        <v>0</v>
      </c>
      <c r="J1542" s="18">
        <f ca="1">((J1541 + H1542) - I1542)</f>
        <v>0</v>
      </c>
      <c r="K1542" s="18">
        <v>0</v>
      </c>
      <c r="L1542" s="19">
        <v>0</v>
      </c>
      <c r="M1542" s="17" t="s">
        <v>157</v>
      </c>
    </row>
    <row r="1543" ht="10.95" customHeight="true" customFormat="true" s="9">
      <c r="A1543" s="16">
        <v>45685</v>
      </c>
      <c r="B1543" s="17" t="s">
        <v>777</v>
      </c>
      <c r="C1543" s="17" t="s">
        <v>731</v>
      </c>
      <c r="D1543" s="17" t="s">
        <v>778</v>
      </c>
      <c r="E1543" s="17" t="s">
        <v>465</v>
      </c>
      <c r="F1543" s="17" t="s">
        <v>779</v>
      </c>
      <c r="G1543" s="17" t="s">
        <v>476</v>
      </c>
      <c r="H1543" s="18">
        <v>0</v>
      </c>
      <c r="I1543" s="18">
        <v>7050.0000</v>
      </c>
      <c r="J1543" s="18">
        <f ca="1">((J1542 + H1543) - I1543)</f>
        <v>0</v>
      </c>
      <c r="K1543" s="18">
        <v>0</v>
      </c>
      <c r="L1543" s="19">
        <v>0</v>
      </c>
      <c r="M1543" s="17" t="s">
        <v>157</v>
      </c>
    </row>
    <row r="1544" ht="10.95" customHeight="true" customFormat="true" s="9">
      <c r="A1544" s="16">
        <v>45707</v>
      </c>
      <c r="B1544" s="17" t="s">
        <v>777</v>
      </c>
      <c r="C1544" s="17" t="s">
        <v>731</v>
      </c>
      <c r="D1544" s="17" t="s">
        <v>778</v>
      </c>
      <c r="E1544" s="17" t="s">
        <v>29</v>
      </c>
      <c r="F1544" s="17" t="s">
        <v>781</v>
      </c>
      <c r="G1544" s="17"/>
      <c r="H1544" s="18">
        <v>7050.0000</v>
      </c>
      <c r="I1544" s="18">
        <v>0</v>
      </c>
      <c r="J1544" s="18">
        <f ca="1">((J1543 + H1544) - I1544)</f>
        <v>0</v>
      </c>
      <c r="K1544" s="18">
        <v>0</v>
      </c>
      <c r="L1544" s="19">
        <v>0</v>
      </c>
      <c r="M1544" s="17" t="s">
        <v>157</v>
      </c>
    </row>
    <row r="1545" ht="10.95" customHeight="true" customFormat="true" s="9">
      <c r="A1545" s="16">
        <v>45713</v>
      </c>
      <c r="B1545" s="17" t="s">
        <v>777</v>
      </c>
      <c r="C1545" s="17" t="s">
        <v>731</v>
      </c>
      <c r="D1545" s="17" t="s">
        <v>778</v>
      </c>
      <c r="E1545" s="17" t="s">
        <v>465</v>
      </c>
      <c r="F1545" s="17" t="s">
        <v>779</v>
      </c>
      <c r="G1545" s="17" t="s">
        <v>477</v>
      </c>
      <c r="H1545" s="18">
        <v>0</v>
      </c>
      <c r="I1545" s="18">
        <v>6977.0000</v>
      </c>
      <c r="J1545" s="18">
        <f ca="1">((J1544 + H1545) - I1545)</f>
        <v>0</v>
      </c>
      <c r="K1545" s="18">
        <v>0</v>
      </c>
      <c r="L1545" s="19">
        <v>0</v>
      </c>
      <c r="M1545" s="17" t="s">
        <v>157</v>
      </c>
    </row>
    <row r="1546" ht="10.95" customHeight="true" customFormat="true" s="9">
      <c r="A1546" s="16">
        <v>45733</v>
      </c>
      <c r="B1546" s="17" t="s">
        <v>777</v>
      </c>
      <c r="C1546" s="17" t="s">
        <v>731</v>
      </c>
      <c r="D1546" s="17" t="s">
        <v>778</v>
      </c>
      <c r="E1546" s="17" t="s">
        <v>29</v>
      </c>
      <c r="F1546" s="17" t="s">
        <v>782</v>
      </c>
      <c r="G1546" s="17"/>
      <c r="H1546" s="18">
        <v>6977.0000</v>
      </c>
      <c r="I1546" s="18">
        <v>0</v>
      </c>
      <c r="J1546" s="18">
        <f ca="1">((J1545 + H1546) - I1546)</f>
        <v>0</v>
      </c>
      <c r="K1546" s="18">
        <v>0</v>
      </c>
      <c r="L1546" s="19">
        <v>0</v>
      </c>
      <c r="M1546" s="17" t="s">
        <v>157</v>
      </c>
    </row>
    <row r="1547" ht="10.95" customHeight="true" customFormat="true" s="9">
      <c r="A1547" s="16">
        <v>45744</v>
      </c>
      <c r="B1547" s="17" t="s">
        <v>777</v>
      </c>
      <c r="C1547" s="17" t="s">
        <v>731</v>
      </c>
      <c r="D1547" s="17" t="s">
        <v>778</v>
      </c>
      <c r="E1547" s="17" t="s">
        <v>465</v>
      </c>
      <c r="F1547" s="17" t="s">
        <v>779</v>
      </c>
      <c r="G1547" s="17" t="s">
        <v>478</v>
      </c>
      <c r="H1547" s="18">
        <v>0</v>
      </c>
      <c r="I1547" s="18">
        <v>17571.0000</v>
      </c>
      <c r="J1547" s="18">
        <f ca="1">((J1546 + H1547) - I1547)</f>
        <v>0</v>
      </c>
      <c r="K1547" s="18">
        <v>0</v>
      </c>
      <c r="L1547" s="19">
        <v>0</v>
      </c>
      <c r="M1547" s="17" t="s">
        <v>157</v>
      </c>
    </row>
    <row r="1548" ht="10.95" customHeight="true" customFormat="true" s="9">
      <c r="A1548" s="20" t="s">
        <v>784</v>
      </c>
      <c r="B1548" s="20"/>
      <c r="C1548" s="20"/>
      <c r="D1548" s="20"/>
      <c r="E1548" s="20"/>
      <c r="F1548" s="20"/>
      <c r="G1548" s="20"/>
      <c r="H1548" s="21">
        <f ca="1">SUM(H1523:H1547)</f>
        <v>0</v>
      </c>
      <c r="I1548" s="21">
        <f ca="1">SUM(I1523:I1547)</f>
        <v>0</v>
      </c>
      <c r="J1548" s="21">
        <f ca="1">J1547</f>
        <v>0</v>
      </c>
      <c r="K1548" s="21">
        <f ca="1">SUM(K1523:K1547)</f>
        <v>0</v>
      </c>
      <c r="L1548" s="20"/>
      <c r="M1548" s="20"/>
    </row>
    <row r="1549" ht="10.95" customHeight="true" customFormat="true" s="9">
      <c r="A1549" s="20" t="s">
        <v>25</v>
      </c>
      <c r="B1549" s="20"/>
      <c r="C1549" s="20"/>
      <c r="D1549" s="20"/>
      <c r="E1549" s="20"/>
      <c r="F1549" s="20"/>
      <c r="G1549" s="20"/>
      <c r="H1549" s="21">
        <v>2289.0000</v>
      </c>
      <c r="I1549" s="21">
        <v>0</v>
      </c>
      <c r="J1549" s="21">
        <v>0</v>
      </c>
      <c r="K1549" s="21">
        <v>0</v>
      </c>
      <c r="L1549" s="20"/>
      <c r="M1549" s="20"/>
    </row>
    <row r="1550" ht="10.95" customHeight="true" customFormat="true" s="9">
      <c r="A1550" s="10" t="s">
        <v>26</v>
      </c>
      <c r="B1550" s="10"/>
      <c r="C1550" s="10"/>
      <c r="D1550" s="10"/>
      <c r="E1550" s="10"/>
      <c r="F1550" s="10"/>
      <c r="G1550" s="10"/>
      <c r="H1550" s="11">
        <v>0</v>
      </c>
      <c r="I1550" s="11">
        <v>17570.9900</v>
      </c>
      <c r="J1550" s="11">
        <f ca="1">J1547</f>
        <v>0</v>
      </c>
      <c r="K1550" s="11">
        <v>0</v>
      </c>
      <c r="L1550" s="10"/>
      <c r="M1550" s="10"/>
    </row>
    <row r="1551" ht="13.35" customHeight="true"/>
    <row r="1552" ht="12.1" customHeight="true" customFormat="true" s="5">
      <c r="A1552" s="8" t="s">
        <v>785</v>
      </c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</row>
    <row r="1553" ht="10.95" customHeight="true" customFormat="true" s="9">
      <c r="A1553" s="10" t="s">
        <v>17</v>
      </c>
      <c r="B1553" s="10"/>
      <c r="C1553" s="10"/>
      <c r="D1553" s="10"/>
      <c r="E1553" s="10"/>
      <c r="F1553" s="10"/>
      <c r="G1553" s="10"/>
      <c r="H1553" s="11">
        <v>0</v>
      </c>
      <c r="I1553" s="11">
        <v>13646.3600</v>
      </c>
      <c r="J1553" s="11">
        <f ca="1">(H1553 - I1553)</f>
        <v>0</v>
      </c>
      <c r="K1553" s="11">
        <v>0</v>
      </c>
      <c r="L1553" s="10"/>
      <c r="M1553" s="10"/>
    </row>
    <row r="1554" ht="10.95" customHeight="true" customFormat="true" s="9">
      <c r="A1554" s="12">
        <v>45399</v>
      </c>
      <c r="B1554" s="13" t="s">
        <v>786</v>
      </c>
      <c r="C1554" s="13" t="s">
        <v>731</v>
      </c>
      <c r="D1554" s="13" t="s">
        <v>787</v>
      </c>
      <c r="E1554" s="13" t="s">
        <v>29</v>
      </c>
      <c r="F1554" s="13" t="s">
        <v>783</v>
      </c>
      <c r="G1554" s="13"/>
      <c r="H1554" s="14">
        <v>13646.3600</v>
      </c>
      <c r="I1554" s="14">
        <v>0</v>
      </c>
      <c r="J1554" s="14">
        <f ca="1">((J1553 + H1554) - I1554)</f>
        <v>0</v>
      </c>
      <c r="K1554" s="14">
        <v>0</v>
      </c>
      <c r="L1554" s="15">
        <v>0</v>
      </c>
      <c r="M1554" s="13" t="s">
        <v>157</v>
      </c>
    </row>
    <row r="1555" ht="10.95" customHeight="true" customFormat="true" s="9">
      <c r="A1555" s="16">
        <v>45409</v>
      </c>
      <c r="B1555" s="17" t="s">
        <v>786</v>
      </c>
      <c r="C1555" s="17" t="s">
        <v>731</v>
      </c>
      <c r="D1555" s="17" t="s">
        <v>787</v>
      </c>
      <c r="E1555" s="17" t="s">
        <v>465</v>
      </c>
      <c r="F1555" s="17" t="s">
        <v>788</v>
      </c>
      <c r="G1555" s="17" t="s">
        <v>467</v>
      </c>
      <c r="H1555" s="18">
        <v>0</v>
      </c>
      <c r="I1555" s="18">
        <v>3588.3400</v>
      </c>
      <c r="J1555" s="18">
        <f ca="1">((J1554 + H1555) - I1555)</f>
        <v>0</v>
      </c>
      <c r="K1555" s="18">
        <v>0</v>
      </c>
      <c r="L1555" s="19">
        <v>0</v>
      </c>
      <c r="M1555" s="17" t="s">
        <v>157</v>
      </c>
    </row>
    <row r="1556" ht="10.95" customHeight="true" customFormat="true" s="9">
      <c r="A1556" s="16">
        <v>45440</v>
      </c>
      <c r="B1556" s="17" t="s">
        <v>786</v>
      </c>
      <c r="C1556" s="17" t="s">
        <v>731</v>
      </c>
      <c r="D1556" s="17" t="s">
        <v>787</v>
      </c>
      <c r="E1556" s="17" t="s">
        <v>465</v>
      </c>
      <c r="F1556" s="17" t="s">
        <v>788</v>
      </c>
      <c r="G1556" s="17" t="s">
        <v>468</v>
      </c>
      <c r="H1556" s="18">
        <v>0</v>
      </c>
      <c r="I1556" s="18">
        <v>3569.3400</v>
      </c>
      <c r="J1556" s="18">
        <f ca="1">((J1555 + H1556) - I1556)</f>
        <v>0</v>
      </c>
      <c r="K1556" s="18">
        <v>0</v>
      </c>
      <c r="L1556" s="19">
        <v>0</v>
      </c>
      <c r="M1556" s="17" t="s">
        <v>157</v>
      </c>
    </row>
    <row r="1557" ht="10.95" customHeight="true" customFormat="true" s="9">
      <c r="A1557" s="16">
        <v>45470</v>
      </c>
      <c r="B1557" s="17" t="s">
        <v>786</v>
      </c>
      <c r="C1557" s="17" t="s">
        <v>731</v>
      </c>
      <c r="D1557" s="17" t="s">
        <v>787</v>
      </c>
      <c r="E1557" s="17" t="s">
        <v>465</v>
      </c>
      <c r="F1557" s="17" t="s">
        <v>788</v>
      </c>
      <c r="G1557" s="17" t="s">
        <v>469</v>
      </c>
      <c r="H1557" s="18">
        <v>0</v>
      </c>
      <c r="I1557" s="18">
        <v>1268.3000</v>
      </c>
      <c r="J1557" s="18">
        <f ca="1">((J1556 + H1557) - I1557)</f>
        <v>0</v>
      </c>
      <c r="K1557" s="18">
        <v>0</v>
      </c>
      <c r="L1557" s="19">
        <v>0</v>
      </c>
      <c r="M1557" s="17" t="s">
        <v>157</v>
      </c>
    </row>
    <row r="1558" ht="10.95" customHeight="true" customFormat="true" s="9">
      <c r="A1558" s="16">
        <v>45475</v>
      </c>
      <c r="B1558" s="17" t="s">
        <v>786</v>
      </c>
      <c r="C1558" s="17" t="s">
        <v>731</v>
      </c>
      <c r="D1558" s="17" t="s">
        <v>787</v>
      </c>
      <c r="E1558" s="17" t="s">
        <v>29</v>
      </c>
      <c r="F1558" s="17" t="s">
        <v>783</v>
      </c>
      <c r="G1558" s="17"/>
      <c r="H1558" s="18">
        <v>8425.9800</v>
      </c>
      <c r="I1558" s="18">
        <v>0</v>
      </c>
      <c r="J1558" s="18">
        <f ca="1">((J1557 + H1558) - I1558)</f>
        <v>0</v>
      </c>
      <c r="K1558" s="18">
        <v>0</v>
      </c>
      <c r="L1558" s="19">
        <v>0</v>
      </c>
      <c r="M1558" s="17" t="s">
        <v>157</v>
      </c>
    </row>
    <row r="1559" ht="10.95" customHeight="true" customFormat="true" s="9">
      <c r="A1559" s="16">
        <v>45501</v>
      </c>
      <c r="B1559" s="17" t="s">
        <v>786</v>
      </c>
      <c r="C1559" s="17" t="s">
        <v>731</v>
      </c>
      <c r="D1559" s="17" t="s">
        <v>787</v>
      </c>
      <c r="E1559" s="17" t="s">
        <v>465</v>
      </c>
      <c r="F1559" s="17" t="s">
        <v>788</v>
      </c>
      <c r="G1559" s="17" t="s">
        <v>470</v>
      </c>
      <c r="H1559" s="18">
        <v>0</v>
      </c>
      <c r="I1559" s="18">
        <v>3733.3600</v>
      </c>
      <c r="J1559" s="18">
        <f ca="1">((J1558 + H1559) - I1559)</f>
        <v>0</v>
      </c>
      <c r="K1559" s="18">
        <v>0</v>
      </c>
      <c r="L1559" s="19">
        <v>0</v>
      </c>
      <c r="M1559" s="17" t="s">
        <v>157</v>
      </c>
    </row>
    <row r="1560" ht="10.95" customHeight="true" customFormat="true" s="9">
      <c r="A1560" s="16">
        <v>45532</v>
      </c>
      <c r="B1560" s="17" t="s">
        <v>786</v>
      </c>
      <c r="C1560" s="17" t="s">
        <v>731</v>
      </c>
      <c r="D1560" s="17" t="s">
        <v>787</v>
      </c>
      <c r="E1560" s="17" t="s">
        <v>465</v>
      </c>
      <c r="F1560" s="17" t="s">
        <v>788</v>
      </c>
      <c r="G1560" s="17" t="s">
        <v>471</v>
      </c>
      <c r="H1560" s="18">
        <v>0</v>
      </c>
      <c r="I1560" s="18">
        <v>3733.3600</v>
      </c>
      <c r="J1560" s="18">
        <f ca="1">((J1559 + H1560) - I1560)</f>
        <v>0</v>
      </c>
      <c r="K1560" s="18">
        <v>0</v>
      </c>
      <c r="L1560" s="19">
        <v>0</v>
      </c>
      <c r="M1560" s="17" t="s">
        <v>157</v>
      </c>
    </row>
    <row r="1561" ht="10.95" customHeight="true" customFormat="true" s="9">
      <c r="A1561" s="16">
        <v>45562</v>
      </c>
      <c r="B1561" s="17" t="s">
        <v>786</v>
      </c>
      <c r="C1561" s="17" t="s">
        <v>731</v>
      </c>
      <c r="D1561" s="17" t="s">
        <v>787</v>
      </c>
      <c r="E1561" s="17" t="s">
        <v>465</v>
      </c>
      <c r="F1561" s="17" t="s">
        <v>788</v>
      </c>
      <c r="G1561" s="17" t="s">
        <v>472</v>
      </c>
      <c r="H1561" s="18">
        <v>0</v>
      </c>
      <c r="I1561" s="18">
        <v>3733.3600</v>
      </c>
      <c r="J1561" s="18">
        <f ca="1">((J1560 + H1561) - I1561)</f>
        <v>0</v>
      </c>
      <c r="K1561" s="18">
        <v>0</v>
      </c>
      <c r="L1561" s="19">
        <v>0</v>
      </c>
      <c r="M1561" s="17" t="s">
        <v>157</v>
      </c>
    </row>
    <row r="1562" ht="10.95" customHeight="true" customFormat="true" s="9">
      <c r="A1562" s="16">
        <v>45587</v>
      </c>
      <c r="B1562" s="17" t="s">
        <v>786</v>
      </c>
      <c r="C1562" s="17" t="s">
        <v>731</v>
      </c>
      <c r="D1562" s="17" t="s">
        <v>787</v>
      </c>
      <c r="E1562" s="17" t="s">
        <v>29</v>
      </c>
      <c r="F1562" s="17" t="s">
        <v>783</v>
      </c>
      <c r="G1562" s="17"/>
      <c r="H1562" s="18">
        <v>11200.0800</v>
      </c>
      <c r="I1562" s="18">
        <v>0</v>
      </c>
      <c r="J1562" s="18">
        <f ca="1">((J1561 + H1562) - I1562)</f>
        <v>0</v>
      </c>
      <c r="K1562" s="18">
        <v>0</v>
      </c>
      <c r="L1562" s="19">
        <v>0</v>
      </c>
      <c r="M1562" s="17" t="s">
        <v>157</v>
      </c>
    </row>
    <row r="1563" ht="10.95" customHeight="true" customFormat="true" s="9">
      <c r="A1563" s="16">
        <v>45593</v>
      </c>
      <c r="B1563" s="17" t="s">
        <v>786</v>
      </c>
      <c r="C1563" s="17" t="s">
        <v>731</v>
      </c>
      <c r="D1563" s="17" t="s">
        <v>787</v>
      </c>
      <c r="E1563" s="17" t="s">
        <v>465</v>
      </c>
      <c r="F1563" s="17" t="s">
        <v>788</v>
      </c>
      <c r="G1563" s="17" t="s">
        <v>473</v>
      </c>
      <c r="H1563" s="18">
        <v>0</v>
      </c>
      <c r="I1563" s="18">
        <v>7028.1400</v>
      </c>
      <c r="J1563" s="18">
        <f ca="1">((J1562 + H1563) - I1563)</f>
        <v>0</v>
      </c>
      <c r="K1563" s="18">
        <v>0</v>
      </c>
      <c r="L1563" s="19">
        <v>0</v>
      </c>
      <c r="M1563" s="17" t="s">
        <v>157</v>
      </c>
    </row>
    <row r="1564" ht="10.95" customHeight="true" customFormat="true" s="9">
      <c r="A1564" s="16">
        <v>45623</v>
      </c>
      <c r="B1564" s="17" t="s">
        <v>786</v>
      </c>
      <c r="C1564" s="17" t="s">
        <v>731</v>
      </c>
      <c r="D1564" s="17" t="s">
        <v>787</v>
      </c>
      <c r="E1564" s="17" t="s">
        <v>465</v>
      </c>
      <c r="F1564" s="17" t="s">
        <v>788</v>
      </c>
      <c r="G1564" s="17" t="s">
        <v>474</v>
      </c>
      <c r="H1564" s="18">
        <v>0</v>
      </c>
      <c r="I1564" s="18">
        <v>3820.9100</v>
      </c>
      <c r="J1564" s="18">
        <f ca="1">((J1563 + H1564) - I1564)</f>
        <v>0</v>
      </c>
      <c r="K1564" s="18">
        <v>0</v>
      </c>
      <c r="L1564" s="19">
        <v>0</v>
      </c>
      <c r="M1564" s="17" t="s">
        <v>157</v>
      </c>
    </row>
    <row r="1565" ht="10.95" customHeight="true" customFormat="true" s="9">
      <c r="A1565" s="16">
        <v>45654</v>
      </c>
      <c r="B1565" s="17" t="s">
        <v>786</v>
      </c>
      <c r="C1565" s="17" t="s">
        <v>731</v>
      </c>
      <c r="D1565" s="17" t="s">
        <v>787</v>
      </c>
      <c r="E1565" s="17" t="s">
        <v>465</v>
      </c>
      <c r="F1565" s="17" t="s">
        <v>788</v>
      </c>
      <c r="G1565" s="17" t="s">
        <v>475</v>
      </c>
      <c r="H1565" s="18">
        <v>0</v>
      </c>
      <c r="I1565" s="18">
        <v>1670.0400</v>
      </c>
      <c r="J1565" s="18">
        <f ca="1">((J1564 + H1565) - I1565)</f>
        <v>0</v>
      </c>
      <c r="K1565" s="18">
        <v>0</v>
      </c>
      <c r="L1565" s="19">
        <v>0</v>
      </c>
      <c r="M1565" s="17" t="s">
        <v>157</v>
      </c>
    </row>
    <row r="1566" ht="10.95" customHeight="true" customFormat="true" s="9">
      <c r="A1566" s="16">
        <v>45680</v>
      </c>
      <c r="B1566" s="17" t="s">
        <v>786</v>
      </c>
      <c r="C1566" s="17" t="s">
        <v>731</v>
      </c>
      <c r="D1566" s="17" t="s">
        <v>787</v>
      </c>
      <c r="E1566" s="17" t="s">
        <v>29</v>
      </c>
      <c r="F1566" s="17" t="s">
        <v>783</v>
      </c>
      <c r="G1566" s="17"/>
      <c r="H1566" s="18">
        <v>12519.0900</v>
      </c>
      <c r="I1566" s="18">
        <v>0</v>
      </c>
      <c r="J1566" s="18">
        <f ca="1">((J1565 + H1566) - I1566)</f>
        <v>0</v>
      </c>
      <c r="K1566" s="18">
        <v>0</v>
      </c>
      <c r="L1566" s="19">
        <v>0</v>
      </c>
      <c r="M1566" s="17" t="s">
        <v>157</v>
      </c>
    </row>
    <row r="1567" ht="10.95" customHeight="true" customFormat="true" s="9">
      <c r="A1567" s="16">
        <v>45685</v>
      </c>
      <c r="B1567" s="17" t="s">
        <v>786</v>
      </c>
      <c r="C1567" s="17" t="s">
        <v>731</v>
      </c>
      <c r="D1567" s="17" t="s">
        <v>787</v>
      </c>
      <c r="E1567" s="17" t="s">
        <v>465</v>
      </c>
      <c r="F1567" s="17" t="s">
        <v>788</v>
      </c>
      <c r="G1567" s="17" t="s">
        <v>476</v>
      </c>
      <c r="H1567" s="18">
        <v>0</v>
      </c>
      <c r="I1567" s="18">
        <v>3820.9100</v>
      </c>
      <c r="J1567" s="18">
        <f ca="1">((J1566 + H1567) - I1567)</f>
        <v>0</v>
      </c>
      <c r="K1567" s="18">
        <v>0</v>
      </c>
      <c r="L1567" s="19">
        <v>0</v>
      </c>
      <c r="M1567" s="17" t="s">
        <v>157</v>
      </c>
    </row>
    <row r="1568" ht="10.95" customHeight="true" customFormat="true" s="9">
      <c r="A1568" s="16">
        <v>45713</v>
      </c>
      <c r="B1568" s="17" t="s">
        <v>786</v>
      </c>
      <c r="C1568" s="17" t="s">
        <v>731</v>
      </c>
      <c r="D1568" s="17" t="s">
        <v>787</v>
      </c>
      <c r="E1568" s="17" t="s">
        <v>465</v>
      </c>
      <c r="F1568" s="17" t="s">
        <v>788</v>
      </c>
      <c r="G1568" s="17" t="s">
        <v>477</v>
      </c>
      <c r="H1568" s="18">
        <v>0</v>
      </c>
      <c r="I1568" s="18">
        <v>3820.9100</v>
      </c>
      <c r="J1568" s="18">
        <f ca="1">((J1567 + H1568) - I1568)</f>
        <v>0</v>
      </c>
      <c r="K1568" s="18">
        <v>0</v>
      </c>
      <c r="L1568" s="19">
        <v>0</v>
      </c>
      <c r="M1568" s="17" t="s">
        <v>157</v>
      </c>
    </row>
    <row r="1569" ht="10.95" customHeight="true" customFormat="true" s="9">
      <c r="A1569" s="16">
        <v>45744</v>
      </c>
      <c r="B1569" s="17" t="s">
        <v>786</v>
      </c>
      <c r="C1569" s="17" t="s">
        <v>731</v>
      </c>
      <c r="D1569" s="17" t="s">
        <v>787</v>
      </c>
      <c r="E1569" s="17" t="s">
        <v>465</v>
      </c>
      <c r="F1569" s="17" t="s">
        <v>788</v>
      </c>
      <c r="G1569" s="17" t="s">
        <v>478</v>
      </c>
      <c r="H1569" s="18">
        <v>0</v>
      </c>
      <c r="I1569" s="18">
        <v>4709.2600</v>
      </c>
      <c r="J1569" s="18">
        <f ca="1">((J1568 + H1569) - I1569)</f>
        <v>0</v>
      </c>
      <c r="K1569" s="18">
        <v>0</v>
      </c>
      <c r="L1569" s="19">
        <v>0</v>
      </c>
      <c r="M1569" s="17" t="s">
        <v>157</v>
      </c>
    </row>
    <row r="1570" ht="10.95" customHeight="true" customFormat="true" s="9">
      <c r="A1570" s="20" t="s">
        <v>789</v>
      </c>
      <c r="B1570" s="20"/>
      <c r="C1570" s="20"/>
      <c r="D1570" s="20"/>
      <c r="E1570" s="20"/>
      <c r="F1570" s="20"/>
      <c r="G1570" s="20"/>
      <c r="H1570" s="21">
        <f ca="1">SUM(H1554:H1569)</f>
        <v>0</v>
      </c>
      <c r="I1570" s="21">
        <f ca="1">SUM(I1554:I1569)</f>
        <v>0</v>
      </c>
      <c r="J1570" s="21">
        <f ca="1">J1569</f>
        <v>0</v>
      </c>
      <c r="K1570" s="21">
        <f ca="1">SUM(K1554:K1569)</f>
        <v>0</v>
      </c>
      <c r="L1570" s="20"/>
      <c r="M1570" s="20"/>
    </row>
    <row r="1571" ht="10.95" customHeight="true" customFormat="true" s="9">
      <c r="A1571" s="20" t="s">
        <v>25</v>
      </c>
      <c r="B1571" s="20"/>
      <c r="C1571" s="20"/>
      <c r="D1571" s="20"/>
      <c r="E1571" s="20"/>
      <c r="F1571" s="20"/>
      <c r="G1571" s="20"/>
      <c r="H1571" s="21">
        <v>1295.2800</v>
      </c>
      <c r="I1571" s="21">
        <v>0</v>
      </c>
      <c r="J1571" s="21">
        <v>0</v>
      </c>
      <c r="K1571" s="21">
        <v>0</v>
      </c>
      <c r="L1571" s="20"/>
      <c r="M1571" s="20"/>
    </row>
    <row r="1572" ht="10.95" customHeight="true" customFormat="true" s="9">
      <c r="A1572" s="10" t="s">
        <v>26</v>
      </c>
      <c r="B1572" s="10"/>
      <c r="C1572" s="10"/>
      <c r="D1572" s="10"/>
      <c r="E1572" s="10"/>
      <c r="F1572" s="10"/>
      <c r="G1572" s="10"/>
      <c r="H1572" s="11">
        <v>0</v>
      </c>
      <c r="I1572" s="11">
        <v>12351.0800</v>
      </c>
      <c r="J1572" s="11">
        <f ca="1">J1569</f>
        <v>0</v>
      </c>
      <c r="K1572" s="11">
        <v>0</v>
      </c>
      <c r="L1572" s="10"/>
      <c r="M1572" s="10"/>
    </row>
    <row r="1573" ht="13.35" customHeight="true"/>
    <row r="1574" ht="12.1" customHeight="true" customFormat="true" s="5">
      <c r="A1574" s="8" t="s">
        <v>790</v>
      </c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</row>
    <row r="1575" ht="10.95" customHeight="true" customFormat="true" s="9">
      <c r="A1575" s="10" t="s">
        <v>17</v>
      </c>
      <c r="B1575" s="10"/>
      <c r="C1575" s="10"/>
      <c r="D1575" s="10"/>
      <c r="E1575" s="10"/>
      <c r="F1575" s="10"/>
      <c r="G1575" s="10"/>
      <c r="H1575" s="11">
        <v>0</v>
      </c>
      <c r="I1575" s="11">
        <v>17822.1000</v>
      </c>
      <c r="J1575" s="11">
        <f ca="1">(H1575 - I1575)</f>
        <v>0</v>
      </c>
      <c r="K1575" s="11">
        <v>0</v>
      </c>
      <c r="L1575" s="10"/>
      <c r="M1575" s="10"/>
    </row>
    <row r="1576" ht="10.95" customHeight="true" customFormat="true" s="9">
      <c r="A1576" s="12">
        <v>45504</v>
      </c>
      <c r="B1576" s="13" t="s">
        <v>791</v>
      </c>
      <c r="C1576" s="13" t="s">
        <v>731</v>
      </c>
      <c r="D1576" s="13" t="s">
        <v>792</v>
      </c>
      <c r="E1576" s="13" t="s">
        <v>154</v>
      </c>
      <c r="F1576" s="13" t="s">
        <v>202</v>
      </c>
      <c r="G1576" s="13" t="s">
        <v>203</v>
      </c>
      <c r="H1576" s="14">
        <v>17822.1000</v>
      </c>
      <c r="I1576" s="14">
        <v>0</v>
      </c>
      <c r="J1576" s="14">
        <f ca="1">((J1575 + H1576) - I1576)</f>
        <v>0</v>
      </c>
      <c r="K1576" s="14">
        <v>0</v>
      </c>
      <c r="L1576" s="15">
        <v>0</v>
      </c>
      <c r="M1576" s="13" t="s">
        <v>157</v>
      </c>
    </row>
    <row r="1577" ht="10.95" customHeight="true" customFormat="true" s="9">
      <c r="A1577" s="16">
        <v>45747</v>
      </c>
      <c r="B1577" s="17" t="s">
        <v>791</v>
      </c>
      <c r="C1577" s="17" t="s">
        <v>731</v>
      </c>
      <c r="D1577" s="17" t="s">
        <v>792</v>
      </c>
      <c r="E1577" s="17" t="s">
        <v>154</v>
      </c>
      <c r="F1577" s="17" t="s">
        <v>544</v>
      </c>
      <c r="G1577" s="17" t="s">
        <v>156</v>
      </c>
      <c r="H1577" s="18">
        <v>0</v>
      </c>
      <c r="I1577" s="18">
        <v>65015.1000</v>
      </c>
      <c r="J1577" s="18">
        <f ca="1">((J1576 + H1577) - I1577)</f>
        <v>0</v>
      </c>
      <c r="K1577" s="18">
        <v>0</v>
      </c>
      <c r="L1577" s="19">
        <v>0</v>
      </c>
      <c r="M1577" s="17" t="s">
        <v>157</v>
      </c>
    </row>
    <row r="1578" ht="10.95" customHeight="true" customFormat="true" s="9">
      <c r="A1578" s="20" t="s">
        <v>793</v>
      </c>
      <c r="B1578" s="20"/>
      <c r="C1578" s="20"/>
      <c r="D1578" s="20"/>
      <c r="E1578" s="20"/>
      <c r="F1578" s="20"/>
      <c r="G1578" s="20"/>
      <c r="H1578" s="21">
        <f ca="1">SUM(H1576:H1577)</f>
        <v>0</v>
      </c>
      <c r="I1578" s="21">
        <f ca="1">SUM(I1576:I1577)</f>
        <v>0</v>
      </c>
      <c r="J1578" s="21">
        <f ca="1">J1577</f>
        <v>0</v>
      </c>
      <c r="K1578" s="21">
        <f ca="1">SUM(K1576:K1577)</f>
        <v>0</v>
      </c>
      <c r="L1578" s="20"/>
      <c r="M1578" s="20"/>
    </row>
    <row r="1579" ht="10.95" customHeight="true" customFormat="true" s="9">
      <c r="A1579" s="20" t="s">
        <v>25</v>
      </c>
      <c r="B1579" s="20"/>
      <c r="C1579" s="20"/>
      <c r="D1579" s="20"/>
      <c r="E1579" s="20"/>
      <c r="F1579" s="20"/>
      <c r="G1579" s="20"/>
      <c r="H1579" s="21">
        <v>0</v>
      </c>
      <c r="I1579" s="21">
        <v>47193.0000</v>
      </c>
      <c r="J1579" s="21">
        <v>0</v>
      </c>
      <c r="K1579" s="21">
        <v>0</v>
      </c>
      <c r="L1579" s="20"/>
      <c r="M1579" s="20"/>
    </row>
    <row r="1580" ht="10.95" customHeight="true" customFormat="true" s="9">
      <c r="A1580" s="10" t="s">
        <v>26</v>
      </c>
      <c r="B1580" s="10"/>
      <c r="C1580" s="10"/>
      <c r="D1580" s="10"/>
      <c r="E1580" s="10"/>
      <c r="F1580" s="10"/>
      <c r="G1580" s="10"/>
      <c r="H1580" s="11">
        <v>0</v>
      </c>
      <c r="I1580" s="11">
        <v>65015.1000</v>
      </c>
      <c r="J1580" s="11">
        <f ca="1">J1577</f>
        <v>0</v>
      </c>
      <c r="K1580" s="11">
        <v>0</v>
      </c>
      <c r="L1580" s="10"/>
      <c r="M1580" s="10"/>
    </row>
    <row r="1581" ht="13.35" customHeight="true"/>
    <row r="1582" ht="12.1" customHeight="true" customFormat="true" s="5">
      <c r="A1582" s="8" t="s">
        <v>794</v>
      </c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</row>
    <row r="1583" ht="10.95" customHeight="true" customFormat="true" s="9">
      <c r="A1583" s="10" t="s">
        <v>17</v>
      </c>
      <c r="B1583" s="10"/>
      <c r="C1583" s="10"/>
      <c r="D1583" s="10"/>
      <c r="E1583" s="10"/>
      <c r="F1583" s="10"/>
      <c r="G1583" s="10"/>
      <c r="H1583" s="11">
        <v>26131.6000</v>
      </c>
      <c r="I1583" s="11">
        <v>0</v>
      </c>
      <c r="J1583" s="11">
        <f ca="1">(H1583 - I1583)</f>
        <v>0</v>
      </c>
      <c r="K1583" s="11">
        <v>0</v>
      </c>
      <c r="L1583" s="10"/>
      <c r="M1583" s="10"/>
    </row>
    <row r="1584" ht="10.95" customHeight="true" customFormat="true" s="9">
      <c r="A1584" s="12">
        <v>45498</v>
      </c>
      <c r="B1584" s="13" t="s">
        <v>795</v>
      </c>
      <c r="C1584" s="13" t="s">
        <v>731</v>
      </c>
      <c r="D1584" s="13" t="s">
        <v>796</v>
      </c>
      <c r="E1584" s="13" t="s">
        <v>47</v>
      </c>
      <c r="F1584" s="13" t="s">
        <v>797</v>
      </c>
      <c r="G1584" s="13" t="s">
        <v>49</v>
      </c>
      <c r="H1584" s="14">
        <v>0</v>
      </c>
      <c r="I1584" s="14">
        <v>9182.3900</v>
      </c>
      <c r="J1584" s="14">
        <f ca="1">((J1583 + H1584) - I1584)</f>
        <v>0</v>
      </c>
      <c r="K1584" s="14">
        <v>0</v>
      </c>
      <c r="L1584" s="15">
        <v>0</v>
      </c>
      <c r="M1584" s="13" t="s">
        <v>157</v>
      </c>
    </row>
    <row r="1585" ht="10.95" customHeight="true" customFormat="true" s="9">
      <c r="A1585" s="16">
        <v>45504</v>
      </c>
      <c r="B1585" s="17" t="s">
        <v>795</v>
      </c>
      <c r="C1585" s="17" t="s">
        <v>731</v>
      </c>
      <c r="D1585" s="17" t="s">
        <v>796</v>
      </c>
      <c r="E1585" s="17" t="s">
        <v>154</v>
      </c>
      <c r="F1585" s="17" t="s">
        <v>202</v>
      </c>
      <c r="G1585" s="17" t="s">
        <v>203</v>
      </c>
      <c r="H1585" s="18">
        <v>0</v>
      </c>
      <c r="I1585" s="18">
        <v>16949.2100</v>
      </c>
      <c r="J1585" s="18">
        <f ca="1">((J1584 + H1585) - I1585)</f>
        <v>0</v>
      </c>
      <c r="K1585" s="18">
        <v>0</v>
      </c>
      <c r="L1585" s="19">
        <v>0</v>
      </c>
      <c r="M1585" s="17" t="s">
        <v>157</v>
      </c>
    </row>
    <row r="1586" ht="10.95" customHeight="true" customFormat="true" s="9">
      <c r="A1586" s="20" t="s">
        <v>798</v>
      </c>
      <c r="B1586" s="20"/>
      <c r="C1586" s="20"/>
      <c r="D1586" s="20"/>
      <c r="E1586" s="20"/>
      <c r="F1586" s="20"/>
      <c r="G1586" s="20"/>
      <c r="H1586" s="21">
        <f ca="1">SUM(H1584:H1585)</f>
        <v>0</v>
      </c>
      <c r="I1586" s="21">
        <f ca="1">SUM(I1584:I1585)</f>
        <v>0</v>
      </c>
      <c r="J1586" s="21">
        <f ca="1">J1585</f>
        <v>0</v>
      </c>
      <c r="K1586" s="21">
        <f ca="1">SUM(K1584:K1585)</f>
        <v>0</v>
      </c>
      <c r="L1586" s="20"/>
      <c r="M1586" s="20"/>
    </row>
    <row r="1587" ht="10.95" customHeight="true" customFormat="true" s="9">
      <c r="A1587" s="20" t="s">
        <v>25</v>
      </c>
      <c r="B1587" s="20"/>
      <c r="C1587" s="20"/>
      <c r="D1587" s="20"/>
      <c r="E1587" s="20"/>
      <c r="F1587" s="20"/>
      <c r="G1587" s="20"/>
      <c r="H1587" s="21">
        <v>0</v>
      </c>
      <c r="I1587" s="21">
        <v>26131.6000</v>
      </c>
      <c r="J1587" s="21">
        <v>0</v>
      </c>
      <c r="K1587" s="21">
        <v>0</v>
      </c>
      <c r="L1587" s="20"/>
      <c r="M1587" s="20"/>
    </row>
    <row r="1588" ht="10.95" customHeight="true" customFormat="true" s="9">
      <c r="A1588" s="10" t="s">
        <v>26</v>
      </c>
      <c r="B1588" s="10"/>
      <c r="C1588" s="10"/>
      <c r="D1588" s="10"/>
      <c r="E1588" s="10"/>
      <c r="F1588" s="10"/>
      <c r="G1588" s="10"/>
      <c r="H1588" s="11">
        <v>0</v>
      </c>
      <c r="I1588" s="11">
        <v>0</v>
      </c>
      <c r="J1588" s="11">
        <f ca="1">J1585</f>
        <v>0</v>
      </c>
      <c r="K1588" s="11">
        <v>0</v>
      </c>
      <c r="L1588" s="10"/>
      <c r="M1588" s="10"/>
    </row>
    <row r="1589" ht="13.35" customHeight="true"/>
    <row r="1590" ht="12.1" customHeight="true" customFormat="true" s="5">
      <c r="A1590" s="8" t="s">
        <v>799</v>
      </c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</row>
    <row r="1591" ht="10.95" customHeight="true" customFormat="true" s="9">
      <c r="A1591" s="10" t="s">
        <v>17</v>
      </c>
      <c r="B1591" s="10"/>
      <c r="C1591" s="10"/>
      <c r="D1591" s="10"/>
      <c r="E1591" s="10"/>
      <c r="F1591" s="10"/>
      <c r="G1591" s="10"/>
      <c r="H1591" s="11">
        <v>0</v>
      </c>
      <c r="I1591" s="11">
        <v>32961.1700</v>
      </c>
      <c r="J1591" s="11">
        <f ca="1">(H1591 - I1591)</f>
        <v>0</v>
      </c>
      <c r="K1591" s="11">
        <v>0</v>
      </c>
      <c r="L1591" s="10"/>
      <c r="M1591" s="10"/>
    </row>
    <row r="1592" ht="10.95" customHeight="true" customFormat="true" s="9">
      <c r="A1592" s="12">
        <v>45412</v>
      </c>
      <c r="B1592" s="13" t="s">
        <v>800</v>
      </c>
      <c r="C1592" s="13" t="s">
        <v>731</v>
      </c>
      <c r="D1592" s="13" t="s">
        <v>801</v>
      </c>
      <c r="E1592" s="13" t="s">
        <v>154</v>
      </c>
      <c r="F1592" s="13" t="s">
        <v>503</v>
      </c>
      <c r="G1592" s="13" t="s">
        <v>504</v>
      </c>
      <c r="H1592" s="14">
        <v>1196.4200</v>
      </c>
      <c r="I1592" s="14">
        <v>0</v>
      </c>
      <c r="J1592" s="14">
        <f ca="1">((J1591 + H1592) - I1592)</f>
        <v>0</v>
      </c>
      <c r="K1592" s="14">
        <v>0</v>
      </c>
      <c r="L1592" s="15">
        <v>0</v>
      </c>
      <c r="M1592" s="13" t="s">
        <v>157</v>
      </c>
    </row>
    <row r="1593" ht="10.95" customHeight="true" customFormat="true" s="9">
      <c r="A1593" s="16">
        <v>45443</v>
      </c>
      <c r="B1593" s="17" t="s">
        <v>800</v>
      </c>
      <c r="C1593" s="17" t="s">
        <v>731</v>
      </c>
      <c r="D1593" s="17" t="s">
        <v>801</v>
      </c>
      <c r="E1593" s="17" t="s">
        <v>154</v>
      </c>
      <c r="F1593" s="17" t="s">
        <v>505</v>
      </c>
      <c r="G1593" s="17" t="s">
        <v>506</v>
      </c>
      <c r="H1593" s="18">
        <v>0</v>
      </c>
      <c r="I1593" s="18">
        <v>2449.2900</v>
      </c>
      <c r="J1593" s="18">
        <f ca="1">((J1592 + H1593) - I1593)</f>
        <v>0</v>
      </c>
      <c r="K1593" s="18">
        <v>0</v>
      </c>
      <c r="L1593" s="19">
        <v>0</v>
      </c>
      <c r="M1593" s="17" t="s">
        <v>157</v>
      </c>
    </row>
    <row r="1594" ht="10.95" customHeight="true" customFormat="true" s="9">
      <c r="A1594" s="16">
        <v>45473</v>
      </c>
      <c r="B1594" s="17" t="s">
        <v>800</v>
      </c>
      <c r="C1594" s="17" t="s">
        <v>731</v>
      </c>
      <c r="D1594" s="17" t="s">
        <v>801</v>
      </c>
      <c r="E1594" s="17" t="s">
        <v>154</v>
      </c>
      <c r="F1594" s="17" t="s">
        <v>507</v>
      </c>
      <c r="G1594" s="17" t="s">
        <v>508</v>
      </c>
      <c r="H1594" s="18">
        <v>1358.0800</v>
      </c>
      <c r="I1594" s="18">
        <v>0</v>
      </c>
      <c r="J1594" s="18">
        <f ca="1">((J1593 + H1594) - I1594)</f>
        <v>0</v>
      </c>
      <c r="K1594" s="18">
        <v>0</v>
      </c>
      <c r="L1594" s="19">
        <v>0</v>
      </c>
      <c r="M1594" s="17" t="s">
        <v>157</v>
      </c>
    </row>
    <row r="1595" ht="10.95" customHeight="true" customFormat="true" s="9">
      <c r="A1595" s="16">
        <v>45504</v>
      </c>
      <c r="B1595" s="17" t="s">
        <v>800</v>
      </c>
      <c r="C1595" s="17" t="s">
        <v>731</v>
      </c>
      <c r="D1595" s="17" t="s">
        <v>801</v>
      </c>
      <c r="E1595" s="17" t="s">
        <v>154</v>
      </c>
      <c r="F1595" s="17" t="s">
        <v>509</v>
      </c>
      <c r="G1595" s="17" t="s">
        <v>510</v>
      </c>
      <c r="H1595" s="18">
        <v>0</v>
      </c>
      <c r="I1595" s="18">
        <v>29.5500</v>
      </c>
      <c r="J1595" s="18">
        <f ca="1">((J1594 + H1595) - I1595)</f>
        <v>0</v>
      </c>
      <c r="K1595" s="18">
        <v>0</v>
      </c>
      <c r="L1595" s="19">
        <v>0</v>
      </c>
      <c r="M1595" s="17" t="s">
        <v>157</v>
      </c>
    </row>
    <row r="1596" ht="10.95" customHeight="true" customFormat="true" s="9">
      <c r="A1596" s="16">
        <v>45535</v>
      </c>
      <c r="B1596" s="17" t="s">
        <v>800</v>
      </c>
      <c r="C1596" s="17" t="s">
        <v>731</v>
      </c>
      <c r="D1596" s="17" t="s">
        <v>801</v>
      </c>
      <c r="E1596" s="17" t="s">
        <v>154</v>
      </c>
      <c r="F1596" s="17" t="s">
        <v>511</v>
      </c>
      <c r="G1596" s="17" t="s">
        <v>512</v>
      </c>
      <c r="H1596" s="18">
        <v>0</v>
      </c>
      <c r="I1596" s="18">
        <v>495.3800</v>
      </c>
      <c r="J1596" s="18">
        <f ca="1">((J1595 + H1596) - I1596)</f>
        <v>0</v>
      </c>
      <c r="K1596" s="18">
        <v>0</v>
      </c>
      <c r="L1596" s="19">
        <v>0</v>
      </c>
      <c r="M1596" s="17" t="s">
        <v>157</v>
      </c>
    </row>
    <row r="1597" ht="10.95" customHeight="true" customFormat="true" s="9">
      <c r="A1597" s="16">
        <v>45565</v>
      </c>
      <c r="B1597" s="17" t="s">
        <v>800</v>
      </c>
      <c r="C1597" s="17" t="s">
        <v>731</v>
      </c>
      <c r="D1597" s="17" t="s">
        <v>801</v>
      </c>
      <c r="E1597" s="17" t="s">
        <v>154</v>
      </c>
      <c r="F1597" s="17" t="s">
        <v>513</v>
      </c>
      <c r="G1597" s="17" t="s">
        <v>514</v>
      </c>
      <c r="H1597" s="18">
        <v>0</v>
      </c>
      <c r="I1597" s="18">
        <v>448.7600</v>
      </c>
      <c r="J1597" s="18">
        <f ca="1">((J1596 + H1597) - I1597)</f>
        <v>0</v>
      </c>
      <c r="K1597" s="18">
        <v>0</v>
      </c>
      <c r="L1597" s="19">
        <v>0</v>
      </c>
      <c r="M1597" s="17" t="s">
        <v>157</v>
      </c>
    </row>
    <row r="1598" ht="10.95" customHeight="true" customFormat="true" s="9">
      <c r="A1598" s="16">
        <v>45596</v>
      </c>
      <c r="B1598" s="17" t="s">
        <v>800</v>
      </c>
      <c r="C1598" s="17" t="s">
        <v>731</v>
      </c>
      <c r="D1598" s="17" t="s">
        <v>801</v>
      </c>
      <c r="E1598" s="17" t="s">
        <v>154</v>
      </c>
      <c r="F1598" s="17" t="s">
        <v>513</v>
      </c>
      <c r="G1598" s="17" t="s">
        <v>515</v>
      </c>
      <c r="H1598" s="18">
        <v>0</v>
      </c>
      <c r="I1598" s="18">
        <v>2833.3800</v>
      </c>
      <c r="J1598" s="18">
        <f ca="1">((J1597 + H1598) - I1598)</f>
        <v>0</v>
      </c>
      <c r="K1598" s="18">
        <v>0</v>
      </c>
      <c r="L1598" s="19">
        <v>0</v>
      </c>
      <c r="M1598" s="17" t="s">
        <v>157</v>
      </c>
    </row>
    <row r="1599" ht="10.95" customHeight="true" customFormat="true" s="9">
      <c r="A1599" s="16">
        <v>45626</v>
      </c>
      <c r="B1599" s="17" t="s">
        <v>800</v>
      </c>
      <c r="C1599" s="17" t="s">
        <v>731</v>
      </c>
      <c r="D1599" s="17" t="s">
        <v>801</v>
      </c>
      <c r="E1599" s="17" t="s">
        <v>154</v>
      </c>
      <c r="F1599" s="17" t="s">
        <v>513</v>
      </c>
      <c r="G1599" s="17" t="s">
        <v>516</v>
      </c>
      <c r="H1599" s="18">
        <v>0</v>
      </c>
      <c r="I1599" s="18">
        <v>2025.6200</v>
      </c>
      <c r="J1599" s="18">
        <f ca="1">((J1598 + H1599) - I1599)</f>
        <v>0</v>
      </c>
      <c r="K1599" s="18">
        <v>0</v>
      </c>
      <c r="L1599" s="19">
        <v>0</v>
      </c>
      <c r="M1599" s="17" t="s">
        <v>157</v>
      </c>
    </row>
    <row r="1600" ht="10.95" customHeight="true" customFormat="true" s="9">
      <c r="A1600" s="16">
        <v>45657</v>
      </c>
      <c r="B1600" s="17" t="s">
        <v>800</v>
      </c>
      <c r="C1600" s="17" t="s">
        <v>731</v>
      </c>
      <c r="D1600" s="17" t="s">
        <v>801</v>
      </c>
      <c r="E1600" s="17" t="s">
        <v>154</v>
      </c>
      <c r="F1600" s="17" t="s">
        <v>513</v>
      </c>
      <c r="G1600" s="17" t="s">
        <v>517</v>
      </c>
      <c r="H1600" s="18">
        <v>343.4700</v>
      </c>
      <c r="I1600" s="18">
        <v>0</v>
      </c>
      <c r="J1600" s="18">
        <f ca="1">((J1599 + H1600) - I1600)</f>
        <v>0</v>
      </c>
      <c r="K1600" s="18">
        <v>0</v>
      </c>
      <c r="L1600" s="19">
        <v>0</v>
      </c>
      <c r="M1600" s="17" t="s">
        <v>157</v>
      </c>
    </row>
    <row r="1601" ht="10.95" customHeight="true" customFormat="true" s="9">
      <c r="A1601" s="16">
        <v>45688</v>
      </c>
      <c r="B1601" s="17" t="s">
        <v>800</v>
      </c>
      <c r="C1601" s="17" t="s">
        <v>731</v>
      </c>
      <c r="D1601" s="17" t="s">
        <v>801</v>
      </c>
      <c r="E1601" s="17" t="s">
        <v>154</v>
      </c>
      <c r="F1601" s="17" t="s">
        <v>513</v>
      </c>
      <c r="G1601" s="17" t="s">
        <v>518</v>
      </c>
      <c r="H1601" s="18">
        <v>0</v>
      </c>
      <c r="I1601" s="18">
        <v>2513.5700</v>
      </c>
      <c r="J1601" s="18">
        <f ca="1">((J1600 + H1601) - I1601)</f>
        <v>0</v>
      </c>
      <c r="K1601" s="18">
        <v>0</v>
      </c>
      <c r="L1601" s="19">
        <v>0</v>
      </c>
      <c r="M1601" s="17" t="s">
        <v>157</v>
      </c>
    </row>
    <row r="1602" ht="10.95" customHeight="true" customFormat="true" s="9">
      <c r="A1602" s="16">
        <v>45716</v>
      </c>
      <c r="B1602" s="17" t="s">
        <v>800</v>
      </c>
      <c r="C1602" s="17" t="s">
        <v>731</v>
      </c>
      <c r="D1602" s="17" t="s">
        <v>801</v>
      </c>
      <c r="E1602" s="17" t="s">
        <v>154</v>
      </c>
      <c r="F1602" s="17" t="s">
        <v>513</v>
      </c>
      <c r="G1602" s="17" t="s">
        <v>519</v>
      </c>
      <c r="H1602" s="18">
        <v>0</v>
      </c>
      <c r="I1602" s="18">
        <v>2185.7100</v>
      </c>
      <c r="J1602" s="18">
        <f ca="1">((J1601 + H1602) - I1602)</f>
        <v>0</v>
      </c>
      <c r="K1602" s="18">
        <v>0</v>
      </c>
      <c r="L1602" s="19">
        <v>0</v>
      </c>
      <c r="M1602" s="17" t="s">
        <v>157</v>
      </c>
    </row>
    <row r="1603" ht="10.95" customHeight="true" customFormat="true" s="9">
      <c r="A1603" s="16">
        <v>45747</v>
      </c>
      <c r="B1603" s="17" t="s">
        <v>800</v>
      </c>
      <c r="C1603" s="17" t="s">
        <v>731</v>
      </c>
      <c r="D1603" s="17" t="s">
        <v>801</v>
      </c>
      <c r="E1603" s="17" t="s">
        <v>154</v>
      </c>
      <c r="F1603" s="17" t="s">
        <v>520</v>
      </c>
      <c r="G1603" s="17" t="s">
        <v>417</v>
      </c>
      <c r="H1603" s="18">
        <v>1205.2500</v>
      </c>
      <c r="I1603" s="18">
        <v>0</v>
      </c>
      <c r="J1603" s="18">
        <f ca="1">((J1602 + H1603) - I1603)</f>
        <v>0</v>
      </c>
      <c r="K1603" s="18">
        <v>0</v>
      </c>
      <c r="L1603" s="19">
        <v>0</v>
      </c>
      <c r="M1603" s="17" t="s">
        <v>157</v>
      </c>
    </row>
    <row r="1604" ht="10.95" customHeight="true" customFormat="true" s="9">
      <c r="A1604" s="20" t="s">
        <v>802</v>
      </c>
      <c r="B1604" s="20"/>
      <c r="C1604" s="20"/>
      <c r="D1604" s="20"/>
      <c r="E1604" s="20"/>
      <c r="F1604" s="20"/>
      <c r="G1604" s="20"/>
      <c r="H1604" s="21">
        <f ca="1">SUM(H1592:H1603)</f>
        <v>0</v>
      </c>
      <c r="I1604" s="21">
        <f ca="1">SUM(I1592:I1603)</f>
        <v>0</v>
      </c>
      <c r="J1604" s="21">
        <f ca="1">J1603</f>
        <v>0</v>
      </c>
      <c r="K1604" s="21">
        <f ca="1">SUM(K1592:K1603)</f>
        <v>0</v>
      </c>
      <c r="L1604" s="20"/>
      <c r="M1604" s="20"/>
    </row>
    <row r="1605" ht="10.95" customHeight="true" customFormat="true" s="9">
      <c r="A1605" s="20" t="s">
        <v>25</v>
      </c>
      <c r="B1605" s="20"/>
      <c r="C1605" s="20"/>
      <c r="D1605" s="20"/>
      <c r="E1605" s="20"/>
      <c r="F1605" s="20"/>
      <c r="G1605" s="20"/>
      <c r="H1605" s="21">
        <v>0</v>
      </c>
      <c r="I1605" s="21">
        <v>8878.0400</v>
      </c>
      <c r="J1605" s="21">
        <v>0</v>
      </c>
      <c r="K1605" s="21">
        <v>0</v>
      </c>
      <c r="L1605" s="20"/>
      <c r="M1605" s="20"/>
    </row>
    <row r="1606" ht="10.95" customHeight="true" customFormat="true" s="9">
      <c r="A1606" s="10" t="s">
        <v>26</v>
      </c>
      <c r="B1606" s="10"/>
      <c r="C1606" s="10"/>
      <c r="D1606" s="10"/>
      <c r="E1606" s="10"/>
      <c r="F1606" s="10"/>
      <c r="G1606" s="10"/>
      <c r="H1606" s="11">
        <v>0</v>
      </c>
      <c r="I1606" s="11">
        <v>41839.2100</v>
      </c>
      <c r="J1606" s="11">
        <f ca="1">J1603</f>
        <v>0</v>
      </c>
      <c r="K1606" s="11">
        <v>0</v>
      </c>
      <c r="L1606" s="10"/>
      <c r="M1606" s="10"/>
    </row>
    <row r="1607" ht="13.35" customHeight="true"/>
    <row r="1608" ht="12.1" customHeight="true" customFormat="true" s="5">
      <c r="A1608" s="8" t="s">
        <v>803</v>
      </c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</row>
    <row r="1609" ht="10.95" customHeight="true" customFormat="true" s="9">
      <c r="A1609" s="10" t="s">
        <v>17</v>
      </c>
      <c r="B1609" s="10"/>
      <c r="C1609" s="10"/>
      <c r="D1609" s="10"/>
      <c r="E1609" s="10"/>
      <c r="F1609" s="10"/>
      <c r="G1609" s="10"/>
      <c r="H1609" s="11">
        <v>0</v>
      </c>
      <c r="I1609" s="11">
        <v>0</v>
      </c>
      <c r="J1609" s="11">
        <f ca="1">(H1609 - I1609)</f>
        <v>0</v>
      </c>
      <c r="K1609" s="11">
        <v>0</v>
      </c>
      <c r="L1609" s="10"/>
      <c r="M1609" s="10"/>
    </row>
    <row r="1610" ht="21.3" customHeight="true" customFormat="true" s="9">
      <c r="A1610" s="12">
        <v>45747</v>
      </c>
      <c r="B1610" s="13" t="s">
        <v>804</v>
      </c>
      <c r="C1610" s="13" t="s">
        <v>731</v>
      </c>
      <c r="D1610" s="13" t="s">
        <v>805</v>
      </c>
      <c r="E1610" s="13" t="s">
        <v>154</v>
      </c>
      <c r="F1610" s="22" t="s">
        <v>525</v>
      </c>
      <c r="G1610" s="13" t="s">
        <v>156</v>
      </c>
      <c r="H1610" s="14">
        <v>0</v>
      </c>
      <c r="I1610" s="14">
        <v>17627.1100</v>
      </c>
      <c r="J1610" s="14">
        <f ca="1">((J1609 + H1610) - I1610)</f>
        <v>0</v>
      </c>
      <c r="K1610" s="14">
        <v>0</v>
      </c>
      <c r="L1610" s="15">
        <v>0</v>
      </c>
      <c r="M1610" s="13" t="s">
        <v>157</v>
      </c>
    </row>
    <row r="1611" ht="10.95" customHeight="true" customFormat="true" s="9">
      <c r="A1611" s="20" t="s">
        <v>806</v>
      </c>
      <c r="B1611" s="20"/>
      <c r="C1611" s="20"/>
      <c r="D1611" s="20"/>
      <c r="E1611" s="20"/>
      <c r="F1611" s="20"/>
      <c r="G1611" s="20"/>
      <c r="H1611" s="21">
        <f ca="1">H1610</f>
        <v>0</v>
      </c>
      <c r="I1611" s="21">
        <f ca="1">I1610</f>
        <v>0</v>
      </c>
      <c r="J1611" s="21">
        <f ca="1">J1610</f>
        <v>0</v>
      </c>
      <c r="K1611" s="21">
        <f ca="1">K1610</f>
        <v>0</v>
      </c>
      <c r="L1611" s="20"/>
      <c r="M1611" s="20"/>
    </row>
    <row r="1612" ht="10.95" customHeight="true" customFormat="true" s="9">
      <c r="A1612" s="20" t="s">
        <v>25</v>
      </c>
      <c r="B1612" s="20"/>
      <c r="C1612" s="20"/>
      <c r="D1612" s="20"/>
      <c r="E1612" s="20"/>
      <c r="F1612" s="20"/>
      <c r="G1612" s="20"/>
      <c r="H1612" s="21">
        <v>0</v>
      </c>
      <c r="I1612" s="21">
        <v>17627.1100</v>
      </c>
      <c r="J1612" s="21">
        <v>0</v>
      </c>
      <c r="K1612" s="21">
        <v>0</v>
      </c>
      <c r="L1612" s="20"/>
      <c r="M1612" s="20"/>
    </row>
    <row r="1613" ht="10.95" customHeight="true" customFormat="true" s="9">
      <c r="A1613" s="10" t="s">
        <v>26</v>
      </c>
      <c r="B1613" s="10"/>
      <c r="C1613" s="10"/>
      <c r="D1613" s="10"/>
      <c r="E1613" s="10"/>
      <c r="F1613" s="10"/>
      <c r="G1613" s="10"/>
      <c r="H1613" s="11">
        <v>0</v>
      </c>
      <c r="I1613" s="11">
        <v>17627.1100</v>
      </c>
      <c r="J1613" s="11">
        <f ca="1">J1610</f>
        <v>0</v>
      </c>
      <c r="K1613" s="11">
        <v>0</v>
      </c>
      <c r="L1613" s="10"/>
      <c r="M1613" s="10"/>
    </row>
    <row r="1614" ht="13.35" customHeight="true"/>
    <row r="1615" ht="12.1" customHeight="true" customFormat="true" s="5">
      <c r="A1615" s="8" t="s">
        <v>807</v>
      </c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</row>
    <row r="1616" ht="10.95" customHeight="true" customFormat="true" s="9">
      <c r="A1616" s="10" t="s">
        <v>17</v>
      </c>
      <c r="B1616" s="10"/>
      <c r="C1616" s="10"/>
      <c r="D1616" s="10"/>
      <c r="E1616" s="10"/>
      <c r="F1616" s="10"/>
      <c r="G1616" s="10"/>
      <c r="H1616" s="11">
        <v>0</v>
      </c>
      <c r="I1616" s="11">
        <v>0</v>
      </c>
      <c r="J1616" s="11">
        <f ca="1">(H1616 - I1616)</f>
        <v>0</v>
      </c>
      <c r="K1616" s="11">
        <v>0</v>
      </c>
      <c r="L1616" s="10"/>
      <c r="M1616" s="10"/>
    </row>
    <row r="1617" ht="10.95" customHeight="true" customFormat="true" s="9">
      <c r="A1617" s="12">
        <v>45747</v>
      </c>
      <c r="B1617" s="13" t="s">
        <v>808</v>
      </c>
      <c r="C1617" s="13" t="s">
        <v>731</v>
      </c>
      <c r="D1617" s="13" t="s">
        <v>809</v>
      </c>
      <c r="E1617" s="13" t="s">
        <v>154</v>
      </c>
      <c r="F1617" s="13" t="s">
        <v>460</v>
      </c>
      <c r="G1617" s="13" t="s">
        <v>417</v>
      </c>
      <c r="H1617" s="14">
        <v>0</v>
      </c>
      <c r="I1617" s="14">
        <v>20000.0000</v>
      </c>
      <c r="J1617" s="14">
        <f ca="1">((J1616 + H1617) - I1617)</f>
        <v>0</v>
      </c>
      <c r="K1617" s="14">
        <v>0</v>
      </c>
      <c r="L1617" s="15">
        <v>0</v>
      </c>
      <c r="M1617" s="13" t="s">
        <v>157</v>
      </c>
    </row>
    <row r="1618" ht="10.95" customHeight="true" customFormat="true" s="9">
      <c r="A1618" s="20" t="s">
        <v>810</v>
      </c>
      <c r="B1618" s="20"/>
      <c r="C1618" s="20"/>
      <c r="D1618" s="20"/>
      <c r="E1618" s="20"/>
      <c r="F1618" s="20"/>
      <c r="G1618" s="20"/>
      <c r="H1618" s="21">
        <f ca="1">H1617</f>
        <v>0</v>
      </c>
      <c r="I1618" s="21">
        <f ca="1">I1617</f>
        <v>0</v>
      </c>
      <c r="J1618" s="21">
        <f ca="1">J1617</f>
        <v>0</v>
      </c>
      <c r="K1618" s="21">
        <f ca="1">K1617</f>
        <v>0</v>
      </c>
      <c r="L1618" s="20"/>
      <c r="M1618" s="20"/>
    </row>
    <row r="1619" ht="10.95" customHeight="true" customFormat="true" s="9">
      <c r="A1619" s="20" t="s">
        <v>25</v>
      </c>
      <c r="B1619" s="20"/>
      <c r="C1619" s="20"/>
      <c r="D1619" s="20"/>
      <c r="E1619" s="20"/>
      <c r="F1619" s="20"/>
      <c r="G1619" s="20"/>
      <c r="H1619" s="21">
        <v>0</v>
      </c>
      <c r="I1619" s="21">
        <v>20000.0000</v>
      </c>
      <c r="J1619" s="21">
        <v>0</v>
      </c>
      <c r="K1619" s="21">
        <v>0</v>
      </c>
      <c r="L1619" s="20"/>
      <c r="M1619" s="20"/>
    </row>
    <row r="1620" ht="10.95" customHeight="true" customFormat="true" s="9">
      <c r="A1620" s="10" t="s">
        <v>26</v>
      </c>
      <c r="B1620" s="10"/>
      <c r="C1620" s="10"/>
      <c r="D1620" s="10"/>
      <c r="E1620" s="10"/>
      <c r="F1620" s="10"/>
      <c r="G1620" s="10"/>
      <c r="H1620" s="11">
        <v>0</v>
      </c>
      <c r="I1620" s="11">
        <v>20000.0000</v>
      </c>
      <c r="J1620" s="11">
        <f ca="1">J1617</f>
        <v>0</v>
      </c>
      <c r="K1620" s="11">
        <v>0</v>
      </c>
      <c r="L1620" s="10"/>
      <c r="M1620" s="10"/>
    </row>
    <row r="1621" ht="13.35" customHeight="true"/>
    <row r="1622" ht="12.1" customHeight="true" customFormat="true" s="5">
      <c r="A1622" s="8" t="s">
        <v>811</v>
      </c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</row>
    <row r="1623" ht="10.95" customHeight="true" customFormat="true" s="9">
      <c r="A1623" s="10" t="s">
        <v>17</v>
      </c>
      <c r="B1623" s="10"/>
      <c r="C1623" s="10"/>
      <c r="D1623" s="10"/>
      <c r="E1623" s="10"/>
      <c r="F1623" s="10"/>
      <c r="G1623" s="10"/>
      <c r="H1623" s="11">
        <v>0</v>
      </c>
      <c r="I1623" s="11">
        <v>0</v>
      </c>
      <c r="J1623" s="11">
        <f ca="1">(H1623 - I1623)</f>
        <v>0</v>
      </c>
      <c r="K1623" s="11">
        <v>0</v>
      </c>
      <c r="L1623" s="10"/>
      <c r="M1623" s="10"/>
    </row>
    <row r="1624" ht="10.95" customHeight="true" customFormat="true" s="9">
      <c r="A1624" s="12">
        <v>45444</v>
      </c>
      <c r="B1624" s="13" t="s">
        <v>812</v>
      </c>
      <c r="C1624" s="13" t="s">
        <v>731</v>
      </c>
      <c r="D1624" s="13" t="s">
        <v>813</v>
      </c>
      <c r="E1624" s="13" t="s">
        <v>339</v>
      </c>
      <c r="F1624" s="13" t="s">
        <v>733</v>
      </c>
      <c r="G1624" s="13" t="s">
        <v>38</v>
      </c>
      <c r="H1624" s="14">
        <v>0.0100</v>
      </c>
      <c r="I1624" s="14">
        <v>0</v>
      </c>
      <c r="J1624" s="14">
        <f ca="1">((J1623 + H1624) - I1624)</f>
        <v>0</v>
      </c>
      <c r="K1624" s="14">
        <v>0</v>
      </c>
      <c r="L1624" s="15">
        <v>0</v>
      </c>
      <c r="M1624" s="13"/>
    </row>
    <row r="1625" ht="10.95" customHeight="true" customFormat="true" s="9">
      <c r="A1625" s="16">
        <v>45473</v>
      </c>
      <c r="B1625" s="17" t="s">
        <v>812</v>
      </c>
      <c r="C1625" s="17" t="s">
        <v>731</v>
      </c>
      <c r="D1625" s="17" t="s">
        <v>813</v>
      </c>
      <c r="E1625" s="17" t="s">
        <v>154</v>
      </c>
      <c r="F1625" s="17" t="s">
        <v>569</v>
      </c>
      <c r="G1625" s="17" t="s">
        <v>570</v>
      </c>
      <c r="H1625" s="18">
        <v>0</v>
      </c>
      <c r="I1625" s="18">
        <v>0.0100</v>
      </c>
      <c r="J1625" s="18">
        <f ca="1">((J1624 + H1625) - I1625)</f>
        <v>0</v>
      </c>
      <c r="K1625" s="18">
        <v>0</v>
      </c>
      <c r="L1625" s="19">
        <v>0</v>
      </c>
      <c r="M1625" s="17" t="s">
        <v>157</v>
      </c>
    </row>
    <row r="1626" ht="10.95" customHeight="true" customFormat="true" s="9">
      <c r="A1626" s="16">
        <v>45536</v>
      </c>
      <c r="B1626" s="17" t="s">
        <v>812</v>
      </c>
      <c r="C1626" s="17" t="s">
        <v>731</v>
      </c>
      <c r="D1626" s="17" t="s">
        <v>813</v>
      </c>
      <c r="E1626" s="17" t="s">
        <v>339</v>
      </c>
      <c r="F1626" s="17" t="s">
        <v>733</v>
      </c>
      <c r="G1626" s="17" t="s">
        <v>38</v>
      </c>
      <c r="H1626" s="18">
        <v>0.0100</v>
      </c>
      <c r="I1626" s="18">
        <v>0</v>
      </c>
      <c r="J1626" s="18">
        <f ca="1">((J1625 + H1626) - I1626)</f>
        <v>0</v>
      </c>
      <c r="K1626" s="18">
        <v>0</v>
      </c>
      <c r="L1626" s="19">
        <v>0</v>
      </c>
      <c r="M1626" s="17"/>
    </row>
    <row r="1627" ht="10.95" customHeight="true" customFormat="true" s="9">
      <c r="A1627" s="16">
        <v>45565</v>
      </c>
      <c r="B1627" s="17" t="s">
        <v>812</v>
      </c>
      <c r="C1627" s="17" t="s">
        <v>731</v>
      </c>
      <c r="D1627" s="17" t="s">
        <v>813</v>
      </c>
      <c r="E1627" s="17" t="s">
        <v>154</v>
      </c>
      <c r="F1627" s="17" t="s">
        <v>571</v>
      </c>
      <c r="G1627" s="17" t="s">
        <v>572</v>
      </c>
      <c r="H1627" s="18">
        <v>0</v>
      </c>
      <c r="I1627" s="18">
        <v>0.0100</v>
      </c>
      <c r="J1627" s="18">
        <f ca="1">((J1626 + H1627) - I1627)</f>
        <v>0</v>
      </c>
      <c r="K1627" s="18">
        <v>0</v>
      </c>
      <c r="L1627" s="19">
        <v>0</v>
      </c>
      <c r="M1627" s="17" t="s">
        <v>157</v>
      </c>
    </row>
    <row r="1628" ht="10.95" customHeight="true" customFormat="true" s="9">
      <c r="A1628" s="16">
        <v>45566</v>
      </c>
      <c r="B1628" s="17" t="s">
        <v>812</v>
      </c>
      <c r="C1628" s="17" t="s">
        <v>731</v>
      </c>
      <c r="D1628" s="17" t="s">
        <v>813</v>
      </c>
      <c r="E1628" s="17" t="s">
        <v>339</v>
      </c>
      <c r="F1628" s="17" t="s">
        <v>733</v>
      </c>
      <c r="G1628" s="17" t="s">
        <v>38</v>
      </c>
      <c r="H1628" s="18">
        <v>0.0100</v>
      </c>
      <c r="I1628" s="18">
        <v>0</v>
      </c>
      <c r="J1628" s="18">
        <f ca="1">((J1627 + H1628) - I1628)</f>
        <v>0</v>
      </c>
      <c r="K1628" s="18">
        <v>0</v>
      </c>
      <c r="L1628" s="19">
        <v>0</v>
      </c>
      <c r="M1628" s="17"/>
    </row>
    <row r="1629" ht="10.95" customHeight="true" customFormat="true" s="9">
      <c r="A1629" s="16">
        <v>45596</v>
      </c>
      <c r="B1629" s="17" t="s">
        <v>812</v>
      </c>
      <c r="C1629" s="17" t="s">
        <v>731</v>
      </c>
      <c r="D1629" s="17" t="s">
        <v>813</v>
      </c>
      <c r="E1629" s="17" t="s">
        <v>154</v>
      </c>
      <c r="F1629" s="17" t="s">
        <v>571</v>
      </c>
      <c r="G1629" s="17" t="s">
        <v>573</v>
      </c>
      <c r="H1629" s="18">
        <v>0</v>
      </c>
      <c r="I1629" s="18">
        <v>0.0100</v>
      </c>
      <c r="J1629" s="18">
        <f ca="1">((J1628 + H1629) - I1629)</f>
        <v>0</v>
      </c>
      <c r="K1629" s="18">
        <v>0</v>
      </c>
      <c r="L1629" s="19">
        <v>0</v>
      </c>
      <c r="M1629" s="17" t="s">
        <v>157</v>
      </c>
    </row>
    <row r="1630" ht="10.95" customHeight="true" customFormat="true" s="9">
      <c r="A1630" s="20" t="s">
        <v>814</v>
      </c>
      <c r="B1630" s="20"/>
      <c r="C1630" s="20"/>
      <c r="D1630" s="20"/>
      <c r="E1630" s="20"/>
      <c r="F1630" s="20"/>
      <c r="G1630" s="20"/>
      <c r="H1630" s="21">
        <f ca="1">SUM(H1624:H1629)</f>
        <v>0</v>
      </c>
      <c r="I1630" s="21">
        <f ca="1">SUM(I1624:I1629)</f>
        <v>0</v>
      </c>
      <c r="J1630" s="21">
        <f ca="1">J1629</f>
        <v>0</v>
      </c>
      <c r="K1630" s="21">
        <f ca="1">SUM(K1624:K1629)</f>
        <v>0</v>
      </c>
      <c r="L1630" s="20"/>
      <c r="M1630" s="20"/>
    </row>
    <row r="1631" ht="10.95" customHeight="true" customFormat="true" s="9">
      <c r="A1631" s="20" t="s">
        <v>25</v>
      </c>
      <c r="B1631" s="20"/>
      <c r="C1631" s="20"/>
      <c r="D1631" s="20"/>
      <c r="E1631" s="20"/>
      <c r="F1631" s="20"/>
      <c r="G1631" s="20"/>
      <c r="H1631" s="21">
        <v>0</v>
      </c>
      <c r="I1631" s="21">
        <v>0</v>
      </c>
      <c r="J1631" s="21">
        <v>0</v>
      </c>
      <c r="K1631" s="21">
        <v>0</v>
      </c>
      <c r="L1631" s="20"/>
      <c r="M1631" s="20"/>
    </row>
    <row r="1632" ht="10.95" customHeight="true" customFormat="true" s="9">
      <c r="A1632" s="10" t="s">
        <v>26</v>
      </c>
      <c r="B1632" s="10"/>
      <c r="C1632" s="10"/>
      <c r="D1632" s="10"/>
      <c r="E1632" s="10"/>
      <c r="F1632" s="10"/>
      <c r="G1632" s="10"/>
      <c r="H1632" s="11">
        <v>0</v>
      </c>
      <c r="I1632" s="11">
        <v>0</v>
      </c>
      <c r="J1632" s="11">
        <f ca="1">J1629</f>
        <v>0</v>
      </c>
      <c r="K1632" s="11">
        <v>0</v>
      </c>
      <c r="L1632" s="10"/>
      <c r="M1632" s="10"/>
    </row>
    <row r="1633" ht="13.35" customHeight="true"/>
    <row r="1634" ht="12.1" customHeight="true" customFormat="true" s="5">
      <c r="A1634" s="8" t="s">
        <v>815</v>
      </c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</row>
    <row r="1635" ht="10.95" customHeight="true" customFormat="true" s="9">
      <c r="A1635" s="10" t="s">
        <v>17</v>
      </c>
      <c r="B1635" s="10"/>
      <c r="C1635" s="10"/>
      <c r="D1635" s="10"/>
      <c r="E1635" s="10"/>
      <c r="F1635" s="10"/>
      <c r="G1635" s="10"/>
      <c r="H1635" s="11">
        <v>0</v>
      </c>
      <c r="I1635" s="11">
        <v>75830.0000</v>
      </c>
      <c r="J1635" s="11">
        <f ca="1">(H1635 - I1635)</f>
        <v>0</v>
      </c>
      <c r="K1635" s="11">
        <v>0</v>
      </c>
      <c r="L1635" s="10"/>
      <c r="M1635" s="10"/>
    </row>
    <row r="1636" ht="10.95" customHeight="true" customFormat="true" s="9">
      <c r="A1636" s="13"/>
      <c r="B1636" s="13" t="s">
        <v>816</v>
      </c>
      <c r="C1636" s="13" t="s">
        <v>817</v>
      </c>
      <c r="D1636" s="13" t="s">
        <v>818</v>
      </c>
      <c r="E1636" s="13"/>
      <c r="F1636" s="13" t="s">
        <v>715</v>
      </c>
      <c r="G1636" s="13"/>
      <c r="H1636" s="14">
        <v>0</v>
      </c>
      <c r="I1636" s="14">
        <v>0</v>
      </c>
      <c r="J1636" s="14">
        <f ca="1">((J1635 + H1636) - I1636)</f>
        <v>0</v>
      </c>
      <c r="K1636" s="14">
        <v>0</v>
      </c>
      <c r="L1636" s="15">
        <v>0</v>
      </c>
      <c r="M1636" s="13"/>
    </row>
    <row r="1637" ht="10.95" customHeight="true" customFormat="true" s="9">
      <c r="A1637" s="20" t="s">
        <v>819</v>
      </c>
      <c r="B1637" s="20"/>
      <c r="C1637" s="20"/>
      <c r="D1637" s="20"/>
      <c r="E1637" s="20"/>
      <c r="F1637" s="20"/>
      <c r="G1637" s="20"/>
      <c r="H1637" s="21">
        <f ca="1">H1636</f>
        <v>0</v>
      </c>
      <c r="I1637" s="21">
        <f ca="1">I1636</f>
        <v>0</v>
      </c>
      <c r="J1637" s="21">
        <f ca="1">J1636</f>
        <v>0</v>
      </c>
      <c r="K1637" s="21">
        <f ca="1">K1636</f>
        <v>0</v>
      </c>
      <c r="L1637" s="20"/>
      <c r="M1637" s="20"/>
    </row>
    <row r="1638" ht="10.95" customHeight="true" customFormat="true" s="9">
      <c r="A1638" s="20" t="s">
        <v>25</v>
      </c>
      <c r="B1638" s="20"/>
      <c r="C1638" s="20"/>
      <c r="D1638" s="20"/>
      <c r="E1638" s="20"/>
      <c r="F1638" s="20"/>
      <c r="G1638" s="20"/>
      <c r="H1638" s="21">
        <v>0</v>
      </c>
      <c r="I1638" s="21">
        <v>0</v>
      </c>
      <c r="J1638" s="21">
        <v>0</v>
      </c>
      <c r="K1638" s="21">
        <v>0</v>
      </c>
      <c r="L1638" s="20"/>
      <c r="M1638" s="20"/>
    </row>
    <row r="1639" ht="10.95" customHeight="true" customFormat="true" s="9">
      <c r="A1639" s="10" t="s">
        <v>26</v>
      </c>
      <c r="B1639" s="10"/>
      <c r="C1639" s="10"/>
      <c r="D1639" s="10"/>
      <c r="E1639" s="10"/>
      <c r="F1639" s="10"/>
      <c r="G1639" s="10"/>
      <c r="H1639" s="11">
        <v>0</v>
      </c>
      <c r="I1639" s="11">
        <v>75830.0000</v>
      </c>
      <c r="J1639" s="11">
        <f ca="1">J1636</f>
        <v>0</v>
      </c>
      <c r="K1639" s="11">
        <v>0</v>
      </c>
      <c r="L1639" s="10"/>
      <c r="M1639" s="10"/>
    </row>
    <row r="1640" ht="13.35" customHeight="true"/>
    <row r="1641" ht="12.1" customHeight="true" customFormat="true" s="5">
      <c r="A1641" s="8" t="s">
        <v>820</v>
      </c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</row>
    <row r="1642" ht="10.95" customHeight="true" customFormat="true" s="9">
      <c r="A1642" s="10" t="s">
        <v>17</v>
      </c>
      <c r="B1642" s="10"/>
      <c r="C1642" s="10"/>
      <c r="D1642" s="10"/>
      <c r="E1642" s="10"/>
      <c r="F1642" s="10"/>
      <c r="G1642" s="10"/>
      <c r="H1642" s="11">
        <v>0</v>
      </c>
      <c r="I1642" s="11">
        <v>10.0000</v>
      </c>
      <c r="J1642" s="11">
        <f ca="1">(H1642 - I1642)</f>
        <v>0</v>
      </c>
      <c r="K1642" s="11">
        <v>0</v>
      </c>
      <c r="L1642" s="10"/>
      <c r="M1642" s="10"/>
    </row>
    <row r="1643" ht="10.95" customHeight="true" customFormat="true" s="9">
      <c r="A1643" s="13"/>
      <c r="B1643" s="13" t="s">
        <v>821</v>
      </c>
      <c r="C1643" s="13" t="s">
        <v>817</v>
      </c>
      <c r="D1643" s="13" t="s">
        <v>822</v>
      </c>
      <c r="E1643" s="13"/>
      <c r="F1643" s="13" t="s">
        <v>715</v>
      </c>
      <c r="G1643" s="13"/>
      <c r="H1643" s="14">
        <v>0</v>
      </c>
      <c r="I1643" s="14">
        <v>0</v>
      </c>
      <c r="J1643" s="14">
        <f ca="1">((J1642 + H1643) - I1643)</f>
        <v>0</v>
      </c>
      <c r="K1643" s="14">
        <v>0</v>
      </c>
      <c r="L1643" s="15">
        <v>0</v>
      </c>
      <c r="M1643" s="13"/>
    </row>
    <row r="1644" ht="10.95" customHeight="true" customFormat="true" s="9">
      <c r="A1644" s="20" t="s">
        <v>823</v>
      </c>
      <c r="B1644" s="20"/>
      <c r="C1644" s="20"/>
      <c r="D1644" s="20"/>
      <c r="E1644" s="20"/>
      <c r="F1644" s="20"/>
      <c r="G1644" s="20"/>
      <c r="H1644" s="21">
        <f ca="1">H1643</f>
        <v>0</v>
      </c>
      <c r="I1644" s="21">
        <f ca="1">I1643</f>
        <v>0</v>
      </c>
      <c r="J1644" s="21">
        <f ca="1">J1643</f>
        <v>0</v>
      </c>
      <c r="K1644" s="21">
        <f ca="1">K1643</f>
        <v>0</v>
      </c>
      <c r="L1644" s="20"/>
      <c r="M1644" s="20"/>
    </row>
    <row r="1645" ht="10.95" customHeight="true" customFormat="true" s="9">
      <c r="A1645" s="20" t="s">
        <v>25</v>
      </c>
      <c r="B1645" s="20"/>
      <c r="C1645" s="20"/>
      <c r="D1645" s="20"/>
      <c r="E1645" s="20"/>
      <c r="F1645" s="20"/>
      <c r="G1645" s="20"/>
      <c r="H1645" s="21">
        <v>0</v>
      </c>
      <c r="I1645" s="21">
        <v>0</v>
      </c>
      <c r="J1645" s="21">
        <v>0</v>
      </c>
      <c r="K1645" s="21">
        <v>0</v>
      </c>
      <c r="L1645" s="20"/>
      <c r="M1645" s="20"/>
    </row>
    <row r="1646" ht="10.95" customHeight="true" customFormat="true" s="9">
      <c r="A1646" s="10" t="s">
        <v>26</v>
      </c>
      <c r="B1646" s="10"/>
      <c r="C1646" s="10"/>
      <c r="D1646" s="10"/>
      <c r="E1646" s="10"/>
      <c r="F1646" s="10"/>
      <c r="G1646" s="10"/>
      <c r="H1646" s="11">
        <v>0</v>
      </c>
      <c r="I1646" s="11">
        <v>10.0000</v>
      </c>
      <c r="J1646" s="11">
        <f ca="1">J1643</f>
        <v>0</v>
      </c>
      <c r="K1646" s="11">
        <v>0</v>
      </c>
      <c r="L1646" s="10"/>
      <c r="M1646" s="10"/>
    </row>
    <row r="1647" ht="13.35" customHeight="true"/>
    <row r="1648" ht="10.95" customHeight="true" customFormat="true" s="9">
      <c r="A1648" s="24" t="s">
        <v>824</v>
      </c>
      <c r="B1648" s="24"/>
      <c r="C1648" s="24"/>
      <c r="D1648" s="24"/>
      <c r="E1648" s="24"/>
      <c r="F1648" s="24"/>
      <c r="G1648" s="24"/>
      <c r="H1648" s="25">
        <f ca="1">SUM(H28,H133,H269,H276,H297,H316,H325,H334,H341,H348,H372,H385,H397,H407,H417,H426,H434,H442,H450,H457,H470,H488,H495,H514,H521,H575,H583,H595,H614,H621,H628,H648,H667,H678,H688,H706,H713,H720,H727,H811,H818,H827,H834,H841,H898,H922,H935,H945,H952,H961,H971,H986,H1000,H1010,H1022,H1033,H1046,H1136,H1147,H1154,H1184,H1191,H1221,H1370,H1377,H1384,H1438,H1468,H1477,H1517,H1548,H1570,H1578,H1586,H1604,H1611,H1618,H1630,H1637,H1644)</f>
        <v>0</v>
      </c>
      <c r="I1648" s="25">
        <f ca="1">SUM(I28,I133,I269,I276,I297,I316,I325,I334,I341,I348,I372,I385,I397,I407,I417,I426,I434,I442,I450,I457,I470,I488,I495,I514,I521,I575,I583,I595,I614,I621,I628,I648,I667,I678,I688,I706,I713,I720,I727,I811,I818,I827,I834,I841,I898,I922,I935,I945,I952,I961,I971,I986,I1000,I1010,I1022,I1033,I1046,I1136,I1147,I1154,I1184,I1191,I1221,I1370,I1377,I1384,I1438,I1468,I1477,I1517,I1548,I1570,I1578,I1586,I1604,I1611,I1618,I1630,I1637,I1644)</f>
        <v>0</v>
      </c>
      <c r="J1648" s="25">
        <f ca="1">(H1648 - I1648)</f>
        <v>0</v>
      </c>
      <c r="K1648" s="25">
        <f ca="1">SUM(K28,K133,K269,K276,K297,K316,K325,K334,K341,K348,K372,K385,K397,K407,K417,K426,K434,K442,K450,K457,K470,K488,K495,K514,K521,K575,K583,K595,K614,K621,K628,K648,K667,K678,K688,K706,K713,K720,K727,K811,K818,K827,K834,K841,K898,K922,K935,K945,K952,K961,K971,K986,K1000,K1010,K1022,K1033,K1046,K1136,K1147,K1154,K1184,K1191,K1221,K1370,K1377,K1384,K1438,K1468,K1477,K1517,K1548,K1570,K1578,K1586,K1604,K1611,K1618,K1630,K1637,K1644)</f>
        <v>0</v>
      </c>
      <c r="L1648" s="24"/>
      <c r="M1648" s="24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