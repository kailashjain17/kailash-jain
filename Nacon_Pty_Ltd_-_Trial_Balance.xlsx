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<sst xmlns="http://schemas.openxmlformats.org/spreadsheetml/2006/main" count="164" uniqueCount="164">
  <si>
    <t>Trial Balance</t>
  </si>
  <si>
    <t>Nacon Pty Ltd</t>
  </si>
  <si>
    <t>As at 31 March 2024</t>
  </si>
  <si>
    <t>Account Code</t>
  </si>
  <si>
    <t>Account</t>
  </si>
  <si>
    <t>Account Type</t>
  </si>
  <si>
    <t>Debit - Year to date</t>
  </si>
  <si>
    <t>Credit - Year to date</t>
  </si>
  <si>
    <t>31 Mar 2023</t>
  </si>
  <si>
    <t>210.1</t>
  </si>
  <si>
    <t>Service Income (FX Adjustment)</t>
  </si>
  <si>
    <t>Revenue</t>
  </si>
  <si>
    <t>261</t>
  </si>
  <si>
    <t>Sales Recharges-OTHERS</t>
  </si>
  <si>
    <t>Other Income</t>
  </si>
  <si>
    <t>262</t>
  </si>
  <si>
    <t>REFUND of Sales Recharges</t>
  </si>
  <si>
    <t>270</t>
  </si>
  <si>
    <t>Interest Income</t>
  </si>
  <si>
    <t>290</t>
  </si>
  <si>
    <t>RIG Corded - Microsoft</t>
  </si>
  <si>
    <t>Sales</t>
  </si>
  <si>
    <t>291</t>
  </si>
  <si>
    <t>RIG Corded - Others</t>
  </si>
  <si>
    <t>292</t>
  </si>
  <si>
    <t>RIG Wireless - Microsoft</t>
  </si>
  <si>
    <t>293</t>
  </si>
  <si>
    <t>RIG Wireless - Others</t>
  </si>
  <si>
    <t>294</t>
  </si>
  <si>
    <t>MSXB - Compact Controllers</t>
  </si>
  <si>
    <t>295</t>
  </si>
  <si>
    <t>PS4 Compact Controllers</t>
  </si>
  <si>
    <t>296</t>
  </si>
  <si>
    <t>VGA - Others</t>
  </si>
  <si>
    <t>297</t>
  </si>
  <si>
    <t>MSXB- Arcade Stick</t>
  </si>
  <si>
    <t>298</t>
  </si>
  <si>
    <t>Arcade Stick - PS5</t>
  </si>
  <si>
    <t>299</t>
  </si>
  <si>
    <t>RUPC - PS5</t>
  </si>
  <si>
    <t>381</t>
  </si>
  <si>
    <t>REFUND OF PERSONNEL COST</t>
  </si>
  <si>
    <t>390</t>
  </si>
  <si>
    <t>Foreign Currency Gains &amp; Losses</t>
  </si>
  <si>
    <t>Expense</t>
  </si>
  <si>
    <t>400</t>
  </si>
  <si>
    <t>Accounting Fees</t>
  </si>
  <si>
    <t>402</t>
  </si>
  <si>
    <t>Advertising &amp; Marketing</t>
  </si>
  <si>
    <t>411</t>
  </si>
  <si>
    <t>Computer Expenses</t>
  </si>
  <si>
    <t>416</t>
  </si>
  <si>
    <t>Depreciation</t>
  </si>
  <si>
    <t>422</t>
  </si>
  <si>
    <t>Bank Interest</t>
  </si>
  <si>
    <t>433</t>
  </si>
  <si>
    <t>Insurance</t>
  </si>
  <si>
    <t>436</t>
  </si>
  <si>
    <t>Management Service Fee</t>
  </si>
  <si>
    <t>442</t>
  </si>
  <si>
    <t>Filing Fees</t>
  </si>
  <si>
    <t>453</t>
  </si>
  <si>
    <t>Office Expenses</t>
  </si>
  <si>
    <t>456</t>
  </si>
  <si>
    <t>Sundry Expenses</t>
  </si>
  <si>
    <t>469</t>
  </si>
  <si>
    <t>Rent</t>
  </si>
  <si>
    <t>477</t>
  </si>
  <si>
    <t>Wages &amp; Salaries</t>
  </si>
  <si>
    <t>478</t>
  </si>
  <si>
    <t>Superannuation</t>
  </si>
  <si>
    <t>479</t>
  </si>
  <si>
    <t>Workcover Insurance</t>
  </si>
  <si>
    <t>485</t>
  </si>
  <si>
    <t>Subscriptions &amp; Memberships</t>
  </si>
  <si>
    <t>496</t>
  </si>
  <si>
    <t>Annual Leave Expense</t>
  </si>
  <si>
    <t>497B</t>
  </si>
  <si>
    <t>Bank Revaluations</t>
  </si>
  <si>
    <t>498U</t>
  </si>
  <si>
    <t>Unrealised Currency Gains</t>
  </si>
  <si>
    <t>499R</t>
  </si>
  <si>
    <t>Realised Currency Gains</t>
  </si>
  <si>
    <t>505</t>
  </si>
  <si>
    <t>Income Tax Expense</t>
  </si>
  <si>
    <t>506</t>
  </si>
  <si>
    <t>Purchase RIG Corded - Microsoft</t>
  </si>
  <si>
    <t>Direct Costs</t>
  </si>
  <si>
    <t>506.1</t>
  </si>
  <si>
    <t>Cost of Goods Sold (FX Adjustment)</t>
  </si>
  <si>
    <t>507</t>
  </si>
  <si>
    <t>Purchase RIG Corded - Others</t>
  </si>
  <si>
    <t>508</t>
  </si>
  <si>
    <t>Purchase RIG Wireless - Microsoft</t>
  </si>
  <si>
    <t>509</t>
  </si>
  <si>
    <t>Purchase RIG Wireless - Others</t>
  </si>
  <si>
    <t>510</t>
  </si>
  <si>
    <t>Purchase MSXB-Compact Controllers</t>
  </si>
  <si>
    <t>511</t>
  </si>
  <si>
    <t>Purchase - PS4 Compact Controllers</t>
  </si>
  <si>
    <t>512</t>
  </si>
  <si>
    <t>Purchase VGA - Others</t>
  </si>
  <si>
    <t>512 01</t>
  </si>
  <si>
    <t>Purchase - MSXB- Arcade Stick</t>
  </si>
  <si>
    <t>512 02</t>
  </si>
  <si>
    <t>Purchase - Arcade Stick - PS5</t>
  </si>
  <si>
    <t>512 03</t>
  </si>
  <si>
    <t>Purchase RUPC - PS5</t>
  </si>
  <si>
    <t>514</t>
  </si>
  <si>
    <t>Bank Charges</t>
  </si>
  <si>
    <t>Nacon - HSBC USD</t>
  </si>
  <si>
    <t>Bank</t>
  </si>
  <si>
    <t>[FX]</t>
  </si>
  <si>
    <t>Airwallex AUD</t>
  </si>
  <si>
    <t>610</t>
  </si>
  <si>
    <t>Accounts Receivable</t>
  </si>
  <si>
    <t>Current Asset</t>
  </si>
  <si>
    <t>610.1</t>
  </si>
  <si>
    <t>Trade and Other Receivables (FX Adjustment)</t>
  </si>
  <si>
    <t>620</t>
  </si>
  <si>
    <t>Prepayments</t>
  </si>
  <si>
    <t>Prepayment</t>
  </si>
  <si>
    <t>710</t>
  </si>
  <si>
    <t>Office Equipment</t>
  </si>
  <si>
    <t>Fixed Asset</t>
  </si>
  <si>
    <t>711</t>
  </si>
  <si>
    <t>Less Accumulated Depreciation on Office Equipment</t>
  </si>
  <si>
    <t>720</t>
  </si>
  <si>
    <t>Computer Equipment</t>
  </si>
  <si>
    <t>721</t>
  </si>
  <si>
    <t>Less Accumulated Depreciation on Computer Equipment</t>
  </si>
  <si>
    <t>800</t>
  </si>
  <si>
    <t>Accounts Payable</t>
  </si>
  <si>
    <t>Current Liability</t>
  </si>
  <si>
    <t>802</t>
  </si>
  <si>
    <t>Sundry Creditors</t>
  </si>
  <si>
    <t>806</t>
  </si>
  <si>
    <t>Salary Sacrifice Amounts Payable / Withheld</t>
  </si>
  <si>
    <t>809</t>
  </si>
  <si>
    <t>Trade and Other Payable (FX Adjustment)</t>
  </si>
  <si>
    <t>820</t>
  </si>
  <si>
    <t>GST</t>
  </si>
  <si>
    <t>821</t>
  </si>
  <si>
    <t>ATO - ICA</t>
  </si>
  <si>
    <t>825</t>
  </si>
  <si>
    <t>PAYG Withholdings Payable</t>
  </si>
  <si>
    <t>826</t>
  </si>
  <si>
    <t>Superannuation Payable</t>
  </si>
  <si>
    <t>830</t>
  </si>
  <si>
    <t>Provision for Income Tax</t>
  </si>
  <si>
    <t>836</t>
  </si>
  <si>
    <t>Prior Years Under/Overs Provision for Income Tax</t>
  </si>
  <si>
    <t>837</t>
  </si>
  <si>
    <t>Provision for Annual Leave</t>
  </si>
  <si>
    <t>960</t>
  </si>
  <si>
    <t>Retained Earnings</t>
  </si>
  <si>
    <t>Equity</t>
  </si>
  <si>
    <t>961</t>
  </si>
  <si>
    <t>$10 Fully Paid Ordinary Shares</t>
  </si>
  <si>
    <t>Total</t>
  </si>
  <si>
    <r>
      <rPr>
        <rFont val="Arial"/>
        <b/>
        <color theme="1"/>
        <sz val="9"/>
      </rPr>
      <t>[FX]</t>
    </r>
    <r>
      <rPr>
        <rFont val="Arial"/>
        <color theme="1"/>
        <sz val="9"/>
      </rPr>
      <t xml:space="preserve"> Exchange rates used to convert foreign currency into AUD are shown below. Rates are provided by XE.com unless otherwise stated.</t>
    </r>
  </si>
  <si>
    <t>31 Mar 2024</t>
  </si>
  <si>
    <t>0.652818 USD (United States Dollar) – rate provided by Accountant Altus</t>
  </si>
  <si>
    <t>0.668682 USD (United States Dollar)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</si>
</sst>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0" fillId="0" borderId="0" xfId="0" applyAlignment="true">
      <alignment vertical="top"/>
    </xf>
    <xf numFmtId="0" fontId="6" fillId="0" borderId="0" xfId="0" applyFont="true" applyAlignment="true">
      <alignment vertical="top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8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51.83203125" customWidth="1"/>
    <col min="3" max="3" width="16.16015625" customWidth="1"/>
    <col min="4" max="4" width="22" customWidth="1"/>
    <col min="5" max="5" width="5.5" customWidth="1"/>
    <col min="6" max="6" width="23" customWidth="1"/>
    <col min="7" max="7" width="5.5" customWidth="1"/>
    <col min="8" max="8" width="14.5" customWidth="1"/>
    <col min="9" max="9" width="5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/>
      <c r="F5" s="7" t="s">
        <v>7</v>
      </c>
      <c r="G5" s="7"/>
      <c r="H5" s="7" t="s">
        <v>8</v>
      </c>
      <c r="I5" s="7"/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9"/>
      <c r="F6" s="10">
        <v>9889.7800</v>
      </c>
      <c r="G6" s="9"/>
      <c r="H6" s="10">
        <v>0</v>
      </c>
      <c r="I6" s="9"/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1"/>
      <c r="F7" s="12">
        <v>576499.5200</v>
      </c>
      <c r="G7" s="11"/>
      <c r="H7" s="12">
        <v>-446302.8100</v>
      </c>
      <c r="I7" s="11"/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2">
        <v>576499.5200</v>
      </c>
      <c r="E8" s="11"/>
      <c r="F8" s="11"/>
      <c r="G8" s="11"/>
      <c r="H8" s="12">
        <v>446302.8100</v>
      </c>
      <c r="I8" s="11"/>
    </row>
    <row r="9" ht="10.95" customHeight="true" customFormat="true" s="8">
      <c r="A9" s="11" t="s">
        <v>17</v>
      </c>
      <c r="B9" s="11" t="s">
        <v>18</v>
      </c>
      <c r="C9" s="11" t="s">
        <v>14</v>
      </c>
      <c r="D9" s="11"/>
      <c r="E9" s="11"/>
      <c r="F9" s="12">
        <v>13498.3400</v>
      </c>
      <c r="G9" s="11"/>
      <c r="H9" s="12">
        <v>-9894.3200</v>
      </c>
      <c r="I9" s="11"/>
    </row>
    <row r="10" ht="10.95" customHeight="true" customFormat="true" s="8">
      <c r="A10" s="11" t="s">
        <v>19</v>
      </c>
      <c r="B10" s="11" t="s">
        <v>20</v>
      </c>
      <c r="C10" s="11" t="s">
        <v>21</v>
      </c>
      <c r="D10" s="11"/>
      <c r="E10" s="11"/>
      <c r="F10" s="12">
        <v>140201.2700</v>
      </c>
      <c r="G10" s="11"/>
      <c r="H10" s="12">
        <v>-680954.6400</v>
      </c>
      <c r="I10" s="11"/>
    </row>
    <row r="11" ht="10.95" customHeight="true" customFormat="true" s="8">
      <c r="A11" s="11" t="s">
        <v>22</v>
      </c>
      <c r="B11" s="11" t="s">
        <v>23</v>
      </c>
      <c r="C11" s="11" t="s">
        <v>21</v>
      </c>
      <c r="D11" s="11"/>
      <c r="E11" s="11"/>
      <c r="F11" s="12">
        <v>1196155.5400</v>
      </c>
      <c r="G11" s="11"/>
      <c r="H11" s="12">
        <v>-1911037.0900</v>
      </c>
      <c r="I11" s="11"/>
    </row>
    <row r="12" ht="10.95" customHeight="true" customFormat="true" s="8">
      <c r="A12" s="11" t="s">
        <v>24</v>
      </c>
      <c r="B12" s="11" t="s">
        <v>25</v>
      </c>
      <c r="C12" s="11" t="s">
        <v>21</v>
      </c>
      <c r="D12" s="11"/>
      <c r="E12" s="11"/>
      <c r="F12" s="12">
        <v>671658.0300</v>
      </c>
      <c r="G12" s="11"/>
      <c r="H12" s="12">
        <v>-1252735.9500</v>
      </c>
      <c r="I12" s="11"/>
    </row>
    <row r="13" ht="10.95" customHeight="true" customFormat="true" s="8">
      <c r="A13" s="11" t="s">
        <v>26</v>
      </c>
      <c r="B13" s="11" t="s">
        <v>27</v>
      </c>
      <c r="C13" s="11" t="s">
        <v>21</v>
      </c>
      <c r="D13" s="11"/>
      <c r="E13" s="11"/>
      <c r="F13" s="12">
        <v>848253.6800</v>
      </c>
      <c r="G13" s="11"/>
      <c r="H13" s="12">
        <v>-1724020.1200</v>
      </c>
      <c r="I13" s="11"/>
    </row>
    <row r="14" ht="10.95" customHeight="true" customFormat="true" s="8">
      <c r="A14" s="11" t="s">
        <v>28</v>
      </c>
      <c r="B14" s="11" t="s">
        <v>29</v>
      </c>
      <c r="C14" s="11" t="s">
        <v>21</v>
      </c>
      <c r="D14" s="11"/>
      <c r="E14" s="11"/>
      <c r="F14" s="12">
        <v>0</v>
      </c>
      <c r="G14" s="11"/>
      <c r="H14" s="12">
        <v>-188067.0000</v>
      </c>
      <c r="I14" s="11"/>
    </row>
    <row r="15" ht="10.95" customHeight="true" customFormat="true" s="8">
      <c r="A15" s="11" t="s">
        <v>30</v>
      </c>
      <c r="B15" s="11" t="s">
        <v>31</v>
      </c>
      <c r="C15" s="11" t="s">
        <v>21</v>
      </c>
      <c r="D15" s="11"/>
      <c r="E15" s="11"/>
      <c r="F15" s="12">
        <v>0</v>
      </c>
      <c r="G15" s="11"/>
      <c r="H15" s="12">
        <v>-777736.6900</v>
      </c>
      <c r="I15" s="11"/>
    </row>
    <row r="16" ht="10.95" customHeight="true" customFormat="true" s="8">
      <c r="A16" s="11" t="s">
        <v>32</v>
      </c>
      <c r="B16" s="11" t="s">
        <v>33</v>
      </c>
      <c r="C16" s="11" t="s">
        <v>21</v>
      </c>
      <c r="D16" s="11"/>
      <c r="E16" s="11"/>
      <c r="F16" s="12">
        <v>0</v>
      </c>
      <c r="G16" s="11"/>
      <c r="H16" s="12">
        <v>-261895.9800</v>
      </c>
      <c r="I16" s="11"/>
    </row>
    <row r="17" ht="10.95" customHeight="true" customFormat="true" s="8">
      <c r="A17" s="11" t="s">
        <v>34</v>
      </c>
      <c r="B17" s="11" t="s">
        <v>35</v>
      </c>
      <c r="C17" s="11" t="s">
        <v>21</v>
      </c>
      <c r="D17" s="11"/>
      <c r="E17" s="11"/>
      <c r="F17" s="12">
        <v>21742.2700</v>
      </c>
      <c r="G17" s="11"/>
      <c r="H17" s="12">
        <v>0</v>
      </c>
      <c r="I17" s="11"/>
    </row>
    <row r="18" ht="10.95" customHeight="true" customFormat="true" s="8">
      <c r="A18" s="11" t="s">
        <v>36</v>
      </c>
      <c r="B18" s="11" t="s">
        <v>37</v>
      </c>
      <c r="C18" s="11" t="s">
        <v>21</v>
      </c>
      <c r="D18" s="11"/>
      <c r="E18" s="11"/>
      <c r="F18" s="12">
        <v>54355.6800</v>
      </c>
      <c r="G18" s="11"/>
      <c r="H18" s="12">
        <v>0</v>
      </c>
      <c r="I18" s="11"/>
    </row>
    <row r="19" ht="10.95" customHeight="true" customFormat="true" s="8">
      <c r="A19" s="11" t="s">
        <v>38</v>
      </c>
      <c r="B19" s="11" t="s">
        <v>39</v>
      </c>
      <c r="C19" s="11" t="s">
        <v>21</v>
      </c>
      <c r="D19" s="11"/>
      <c r="E19" s="11"/>
      <c r="F19" s="12">
        <v>84009.9300</v>
      </c>
      <c r="G19" s="11"/>
      <c r="H19" s="12">
        <v>0</v>
      </c>
      <c r="I19" s="11"/>
    </row>
    <row r="20" ht="10.95" customHeight="true" customFormat="true" s="8">
      <c r="A20" s="11" t="s">
        <v>40</v>
      </c>
      <c r="B20" s="11" t="s">
        <v>41</v>
      </c>
      <c r="C20" s="11" t="s">
        <v>14</v>
      </c>
      <c r="D20" s="11"/>
      <c r="E20" s="11"/>
      <c r="F20" s="12">
        <v>586676.0800</v>
      </c>
      <c r="G20" s="11"/>
      <c r="H20" s="12">
        <v>-537342.0300</v>
      </c>
      <c r="I20" s="11"/>
    </row>
    <row r="21" ht="10.95" customHeight="true" customFormat="true" s="8">
      <c r="A21" s="11" t="s">
        <v>42</v>
      </c>
      <c r="B21" s="11" t="s">
        <v>43</v>
      </c>
      <c r="C21" s="11" t="s">
        <v>44</v>
      </c>
      <c r="D21" s="11"/>
      <c r="E21" s="11"/>
      <c r="F21" s="12">
        <v>114.0000</v>
      </c>
      <c r="G21" s="11"/>
      <c r="H21" s="12">
        <v>0</v>
      </c>
      <c r="I21" s="11"/>
    </row>
    <row r="22" ht="10.95" customHeight="true" customFormat="true" s="8">
      <c r="A22" s="11" t="s">
        <v>45</v>
      </c>
      <c r="B22" s="11" t="s">
        <v>46</v>
      </c>
      <c r="C22" s="11" t="s">
        <v>44</v>
      </c>
      <c r="D22" s="12">
        <v>28664.7500</v>
      </c>
      <c r="E22" s="11"/>
      <c r="F22" s="11"/>
      <c r="G22" s="11"/>
      <c r="H22" s="12">
        <v>29175.0000</v>
      </c>
      <c r="I22" s="11"/>
    </row>
    <row r="23" ht="10.95" customHeight="true" customFormat="true" s="8">
      <c r="A23" s="11" t="s">
        <v>47</v>
      </c>
      <c r="B23" s="11" t="s">
        <v>48</v>
      </c>
      <c r="C23" s="11" t="s">
        <v>44</v>
      </c>
      <c r="D23" s="12">
        <v>630.8200</v>
      </c>
      <c r="E23" s="11"/>
      <c r="F23" s="11"/>
      <c r="G23" s="11"/>
      <c r="H23" s="12">
        <v>91985.0500</v>
      </c>
      <c r="I23" s="11"/>
    </row>
    <row r="24" ht="10.95" customHeight="true" customFormat="true" s="8">
      <c r="A24" s="11" t="s">
        <v>49</v>
      </c>
      <c r="B24" s="11" t="s">
        <v>50</v>
      </c>
      <c r="C24" s="11" t="s">
        <v>44</v>
      </c>
      <c r="D24" s="12">
        <v>0</v>
      </c>
      <c r="E24" s="11"/>
      <c r="F24" s="11"/>
      <c r="G24" s="11"/>
      <c r="H24" s="12">
        <v>4490.3600</v>
      </c>
      <c r="I24" s="11"/>
    </row>
    <row r="25" ht="10.95" customHeight="true" customFormat="true" s="8">
      <c r="A25" s="11" t="s">
        <v>51</v>
      </c>
      <c r="B25" s="11" t="s">
        <v>52</v>
      </c>
      <c r="C25" s="11" t="s">
        <v>44</v>
      </c>
      <c r="D25" s="12">
        <v>1027.9900</v>
      </c>
      <c r="E25" s="11"/>
      <c r="F25" s="11"/>
      <c r="G25" s="11"/>
      <c r="H25" s="12">
        <v>1070.9300</v>
      </c>
      <c r="I25" s="11"/>
    </row>
    <row r="26" ht="10.95" customHeight="true" customFormat="true" s="8">
      <c r="A26" s="11" t="s">
        <v>53</v>
      </c>
      <c r="B26" s="11" t="s">
        <v>54</v>
      </c>
      <c r="C26" s="11" t="s">
        <v>44</v>
      </c>
      <c r="D26" s="12">
        <v>10.5500</v>
      </c>
      <c r="E26" s="11"/>
      <c r="F26" s="11"/>
      <c r="G26" s="11"/>
      <c r="H26" s="12">
        <v>0</v>
      </c>
      <c r="I26" s="11"/>
    </row>
    <row r="27" ht="10.95" customHeight="true" customFormat="true" s="8">
      <c r="A27" s="11" t="s">
        <v>55</v>
      </c>
      <c r="B27" s="11" t="s">
        <v>56</v>
      </c>
      <c r="C27" s="11" t="s">
        <v>44</v>
      </c>
      <c r="D27" s="12">
        <v>4782.1100</v>
      </c>
      <c r="E27" s="11"/>
      <c r="F27" s="11"/>
      <c r="G27" s="11"/>
      <c r="H27" s="12">
        <v>4316.7600</v>
      </c>
      <c r="I27" s="11"/>
    </row>
    <row r="28" ht="10.95" customHeight="true" customFormat="true" s="8">
      <c r="A28" s="11" t="s">
        <v>57</v>
      </c>
      <c r="B28" s="11" t="s">
        <v>58</v>
      </c>
      <c r="C28" s="11" t="s">
        <v>44</v>
      </c>
      <c r="D28" s="12">
        <v>220512.5300</v>
      </c>
      <c r="E28" s="11"/>
      <c r="F28" s="11"/>
      <c r="G28" s="11"/>
      <c r="H28" s="12">
        <v>157025.3100</v>
      </c>
      <c r="I28" s="11"/>
    </row>
    <row r="29" ht="10.95" customHeight="true" customFormat="true" s="8">
      <c r="A29" s="11" t="s">
        <v>59</v>
      </c>
      <c r="B29" s="11" t="s">
        <v>60</v>
      </c>
      <c r="C29" s="11" t="s">
        <v>44</v>
      </c>
      <c r="D29" s="12">
        <v>290.0000</v>
      </c>
      <c r="E29" s="11"/>
      <c r="F29" s="11"/>
      <c r="G29" s="11"/>
      <c r="H29" s="12">
        <v>276.0000</v>
      </c>
      <c r="I29" s="11"/>
    </row>
    <row r="30" ht="10.95" customHeight="true" customFormat="true" s="8">
      <c r="A30" s="11" t="s">
        <v>61</v>
      </c>
      <c r="B30" s="11" t="s">
        <v>62</v>
      </c>
      <c r="C30" s="11" t="s">
        <v>44</v>
      </c>
      <c r="D30" s="12">
        <v>488.3500</v>
      </c>
      <c r="E30" s="11"/>
      <c r="F30" s="11"/>
      <c r="G30" s="11"/>
      <c r="H30" s="12">
        <v>0</v>
      </c>
      <c r="I30" s="11"/>
    </row>
    <row r="31" ht="10.95" customHeight="true" customFormat="true" s="8">
      <c r="A31" s="11" t="s">
        <v>63</v>
      </c>
      <c r="B31" s="11" t="s">
        <v>64</v>
      </c>
      <c r="C31" s="11" t="s">
        <v>44</v>
      </c>
      <c r="D31" s="12">
        <v>0</v>
      </c>
      <c r="E31" s="11"/>
      <c r="F31" s="11"/>
      <c r="G31" s="11"/>
      <c r="H31" s="12">
        <v>3049.3300</v>
      </c>
      <c r="I31" s="11"/>
    </row>
    <row r="32" ht="10.95" customHeight="true" customFormat="true" s="8">
      <c r="A32" s="11" t="s">
        <v>65</v>
      </c>
      <c r="B32" s="11" t="s">
        <v>66</v>
      </c>
      <c r="C32" s="11" t="s">
        <v>44</v>
      </c>
      <c r="D32" s="12">
        <v>0</v>
      </c>
      <c r="E32" s="11"/>
      <c r="F32" s="11"/>
      <c r="G32" s="11"/>
      <c r="H32" s="12">
        <v>7255.6200</v>
      </c>
      <c r="I32" s="11"/>
    </row>
    <row r="33" ht="10.95" customHeight="true" customFormat="true" s="8">
      <c r="A33" s="11" t="s">
        <v>67</v>
      </c>
      <c r="B33" s="11" t="s">
        <v>68</v>
      </c>
      <c r="C33" s="11" t="s">
        <v>44</v>
      </c>
      <c r="D33" s="12">
        <v>412327.9200</v>
      </c>
      <c r="E33" s="11"/>
      <c r="F33" s="11"/>
      <c r="G33" s="11"/>
      <c r="H33" s="12">
        <v>610682.2200</v>
      </c>
      <c r="I33" s="11"/>
    </row>
    <row r="34" ht="10.95" customHeight="true" customFormat="true" s="8">
      <c r="A34" s="11" t="s">
        <v>69</v>
      </c>
      <c r="B34" s="11" t="s">
        <v>70</v>
      </c>
      <c r="C34" s="11" t="s">
        <v>44</v>
      </c>
      <c r="D34" s="12">
        <v>48622.1300</v>
      </c>
      <c r="E34" s="11"/>
      <c r="F34" s="11"/>
      <c r="G34" s="11"/>
      <c r="H34" s="12">
        <v>42717.0300</v>
      </c>
      <c r="I34" s="11"/>
    </row>
    <row r="35" ht="10.95" customHeight="true" customFormat="true" s="8">
      <c r="A35" s="11" t="s">
        <v>71</v>
      </c>
      <c r="B35" s="11" t="s">
        <v>72</v>
      </c>
      <c r="C35" s="11" t="s">
        <v>44</v>
      </c>
      <c r="D35" s="12">
        <v>1600.9400</v>
      </c>
      <c r="E35" s="11"/>
      <c r="F35" s="11"/>
      <c r="G35" s="11"/>
      <c r="H35" s="12">
        <v>-4541.6500</v>
      </c>
      <c r="I35" s="11"/>
    </row>
    <row r="36" ht="10.95" customHeight="true" customFormat="true" s="8">
      <c r="A36" s="11" t="s">
        <v>73</v>
      </c>
      <c r="B36" s="11" t="s">
        <v>74</v>
      </c>
      <c r="C36" s="11" t="s">
        <v>44</v>
      </c>
      <c r="D36" s="12">
        <v>6002.0400</v>
      </c>
      <c r="E36" s="11"/>
      <c r="F36" s="11"/>
      <c r="G36" s="11"/>
      <c r="H36" s="12">
        <v>0</v>
      </c>
      <c r="I36" s="11"/>
    </row>
    <row r="37" ht="10.95" customHeight="true" customFormat="true" s="8">
      <c r="A37" s="11" t="s">
        <v>75</v>
      </c>
      <c r="B37" s="11" t="s">
        <v>76</v>
      </c>
      <c r="C37" s="11" t="s">
        <v>44</v>
      </c>
      <c r="D37" s="12">
        <v>2759.0200</v>
      </c>
      <c r="E37" s="11"/>
      <c r="F37" s="11"/>
      <c r="G37" s="11"/>
      <c r="H37" s="12">
        <v>-19547.0100</v>
      </c>
      <c r="I37" s="11"/>
    </row>
    <row r="38" ht="10.95" customHeight="true" customFormat="true" s="8">
      <c r="A38" s="11" t="s">
        <v>77</v>
      </c>
      <c r="B38" s="11" t="s">
        <v>78</v>
      </c>
      <c r="C38" s="11" t="s">
        <v>44</v>
      </c>
      <c r="D38" s="11"/>
      <c r="E38" s="11"/>
      <c r="F38" s="12">
        <v>81289.7600</v>
      </c>
      <c r="G38" s="11"/>
      <c r="H38" s="12">
        <v>-27242.2300</v>
      </c>
      <c r="I38" s="11"/>
    </row>
    <row r="39" ht="10.95" customHeight="true" customFormat="true" s="8">
      <c r="A39" s="11" t="s">
        <v>79</v>
      </c>
      <c r="B39" s="11" t="s">
        <v>80</v>
      </c>
      <c r="C39" s="11" t="s">
        <v>44</v>
      </c>
      <c r="D39" s="12">
        <v>18340.0500</v>
      </c>
      <c r="E39" s="11"/>
      <c r="F39" s="11"/>
      <c r="G39" s="11"/>
      <c r="H39" s="12">
        <v>-16313.7700</v>
      </c>
      <c r="I39" s="11"/>
    </row>
    <row r="40" ht="10.95" customHeight="true" customFormat="true" s="8">
      <c r="A40" s="11" t="s">
        <v>81</v>
      </c>
      <c r="B40" s="11" t="s">
        <v>82</v>
      </c>
      <c r="C40" s="11" t="s">
        <v>44</v>
      </c>
      <c r="D40" s="12">
        <v>44414.1700</v>
      </c>
      <c r="E40" s="11"/>
      <c r="F40" s="11"/>
      <c r="G40" s="11"/>
      <c r="H40" s="12">
        <v>40568.0600</v>
      </c>
      <c r="I40" s="11"/>
    </row>
    <row r="41" ht="10.95" customHeight="true" customFormat="true" s="8">
      <c r="A41" s="11" t="s">
        <v>83</v>
      </c>
      <c r="B41" s="11" t="s">
        <v>84</v>
      </c>
      <c r="C41" s="11" t="s">
        <v>44</v>
      </c>
      <c r="D41" s="11"/>
      <c r="E41" s="11"/>
      <c r="F41" s="12">
        <v>8309.5000</v>
      </c>
      <c r="G41" s="11"/>
      <c r="H41" s="12">
        <v>33864.9000</v>
      </c>
      <c r="I41" s="11"/>
    </row>
    <row r="42" ht="10.95" customHeight="true" customFormat="true" s="8">
      <c r="A42" s="11" t="s">
        <v>85</v>
      </c>
      <c r="B42" s="11" t="s">
        <v>86</v>
      </c>
      <c r="C42" s="11" t="s">
        <v>87</v>
      </c>
      <c r="D42" s="12">
        <v>131355.3300</v>
      </c>
      <c r="E42" s="11"/>
      <c r="F42" s="11"/>
      <c r="G42" s="11"/>
      <c r="H42" s="12">
        <v>638149.6100</v>
      </c>
      <c r="I42" s="11"/>
    </row>
    <row r="43" ht="10.95" customHeight="true" customFormat="true" s="8">
      <c r="A43" s="11" t="s">
        <v>88</v>
      </c>
      <c r="B43" s="11" t="s">
        <v>89</v>
      </c>
      <c r="C43" s="11" t="s">
        <v>44</v>
      </c>
      <c r="D43" s="12">
        <v>14215.0800</v>
      </c>
      <c r="E43" s="11"/>
      <c r="F43" s="11"/>
      <c r="G43" s="11"/>
      <c r="H43" s="12">
        <v>0</v>
      </c>
      <c r="I43" s="11"/>
    </row>
    <row r="44" ht="10.95" customHeight="true" customFormat="true" s="8">
      <c r="A44" s="11" t="s">
        <v>90</v>
      </c>
      <c r="B44" s="11" t="s">
        <v>91</v>
      </c>
      <c r="C44" s="11" t="s">
        <v>87</v>
      </c>
      <c r="D44" s="12">
        <v>1125357.3000</v>
      </c>
      <c r="E44" s="11"/>
      <c r="F44" s="11"/>
      <c r="G44" s="11"/>
      <c r="H44" s="12">
        <v>1771089.5300</v>
      </c>
      <c r="I44" s="11"/>
    </row>
    <row r="45" ht="10.95" customHeight="true" customFormat="true" s="8">
      <c r="A45" s="11" t="s">
        <v>92</v>
      </c>
      <c r="B45" s="11" t="s">
        <v>93</v>
      </c>
      <c r="C45" s="11" t="s">
        <v>87</v>
      </c>
      <c r="D45" s="12">
        <v>626413.6500</v>
      </c>
      <c r="E45" s="11"/>
      <c r="F45" s="11"/>
      <c r="G45" s="11"/>
      <c r="H45" s="12">
        <v>1166503.9400</v>
      </c>
      <c r="I45" s="11"/>
    </row>
    <row r="46" ht="10.95" customHeight="true" customFormat="true" s="8">
      <c r="A46" s="11" t="s">
        <v>94</v>
      </c>
      <c r="B46" s="11" t="s">
        <v>95</v>
      </c>
      <c r="C46" s="11" t="s">
        <v>87</v>
      </c>
      <c r="D46" s="12">
        <v>793555.0700</v>
      </c>
      <c r="E46" s="11"/>
      <c r="F46" s="11"/>
      <c r="G46" s="11"/>
      <c r="H46" s="12">
        <v>1607962.5200</v>
      </c>
      <c r="I46" s="11"/>
    </row>
    <row r="47" ht="10.95" customHeight="true" customFormat="true" s="8">
      <c r="A47" s="11" t="s">
        <v>96</v>
      </c>
      <c r="B47" s="11" t="s">
        <v>97</v>
      </c>
      <c r="C47" s="11" t="s">
        <v>87</v>
      </c>
      <c r="D47" s="12">
        <v>0</v>
      </c>
      <c r="E47" s="11"/>
      <c r="F47" s="11"/>
      <c r="G47" s="11"/>
      <c r="H47" s="12">
        <v>176741.8400</v>
      </c>
      <c r="I47" s="11"/>
    </row>
    <row r="48" ht="10.95" customHeight="true" customFormat="true" s="8">
      <c r="A48" s="11" t="s">
        <v>98</v>
      </c>
      <c r="B48" s="11" t="s">
        <v>99</v>
      </c>
      <c r="C48" s="11" t="s">
        <v>87</v>
      </c>
      <c r="D48" s="12">
        <v>0</v>
      </c>
      <c r="E48" s="11"/>
      <c r="F48" s="11"/>
      <c r="G48" s="11"/>
      <c r="H48" s="12">
        <v>734379.6400</v>
      </c>
      <c r="I48" s="11"/>
    </row>
    <row r="49" ht="10.95" customHeight="true" customFormat="true" s="8">
      <c r="A49" s="11" t="s">
        <v>100</v>
      </c>
      <c r="B49" s="11" t="s">
        <v>101</v>
      </c>
      <c r="C49" s="11" t="s">
        <v>87</v>
      </c>
      <c r="D49" s="12">
        <v>0</v>
      </c>
      <c r="E49" s="11"/>
      <c r="F49" s="11"/>
      <c r="G49" s="11"/>
      <c r="H49" s="12">
        <v>238980.0800</v>
      </c>
      <c r="I49" s="11"/>
    </row>
    <row r="50" ht="10.95" customHeight="true" customFormat="true" s="8">
      <c r="A50" s="11" t="s">
        <v>102</v>
      </c>
      <c r="B50" s="11" t="s">
        <v>103</v>
      </c>
      <c r="C50" s="11" t="s">
        <v>87</v>
      </c>
      <c r="D50" s="12">
        <v>20705.2800</v>
      </c>
      <c r="E50" s="11"/>
      <c r="F50" s="11"/>
      <c r="G50" s="11"/>
      <c r="H50" s="12">
        <v>0</v>
      </c>
      <c r="I50" s="11"/>
    </row>
    <row r="51" ht="10.95" customHeight="true" customFormat="true" s="8">
      <c r="A51" s="11" t="s">
        <v>104</v>
      </c>
      <c r="B51" s="11" t="s">
        <v>105</v>
      </c>
      <c r="C51" s="11" t="s">
        <v>87</v>
      </c>
      <c r="D51" s="12">
        <v>51692.5000</v>
      </c>
      <c r="E51" s="11"/>
      <c r="F51" s="11"/>
      <c r="G51" s="11"/>
      <c r="H51" s="12">
        <v>0</v>
      </c>
      <c r="I51" s="11"/>
    </row>
    <row r="52" ht="10.95" customHeight="true" customFormat="true" s="8">
      <c r="A52" s="11" t="s">
        <v>106</v>
      </c>
      <c r="B52" s="11" t="s">
        <v>107</v>
      </c>
      <c r="C52" s="11" t="s">
        <v>87</v>
      </c>
      <c r="D52" s="12">
        <v>79351.2000</v>
      </c>
      <c r="E52" s="11"/>
      <c r="F52" s="11"/>
      <c r="G52" s="11"/>
      <c r="H52" s="12">
        <v>0</v>
      </c>
      <c r="I52" s="11"/>
    </row>
    <row r="53" ht="10.95" customHeight="true" customFormat="true" s="8">
      <c r="A53" s="11" t="s">
        <v>108</v>
      </c>
      <c r="B53" s="11" t="s">
        <v>109</v>
      </c>
      <c r="C53" s="11" t="s">
        <v>44</v>
      </c>
      <c r="D53" s="12">
        <v>638.3600</v>
      </c>
      <c r="E53" s="11"/>
      <c r="F53" s="11"/>
      <c r="G53" s="11"/>
      <c r="H53" s="12">
        <v>880.4900</v>
      </c>
      <c r="I53" s="11"/>
    </row>
    <row r="54" ht="10.95" customHeight="true" customFormat="true" s="8">
      <c r="A54" s="11"/>
      <c r="B54" s="11" t="s">
        <v>110</v>
      </c>
      <c r="C54" s="11" t="s">
        <v>111</v>
      </c>
      <c r="D54" s="12">
        <v>306817.6100</v>
      </c>
      <c r="E54" s="11" t="s">
        <v>112</v>
      </c>
      <c r="F54" s="11"/>
      <c r="G54" s="11"/>
      <c r="H54" s="12">
        <v>614687.5800</v>
      </c>
      <c r="I54" s="11" t="s">
        <v>112</v>
      </c>
    </row>
    <row r="55" ht="10.95" customHeight="true" customFormat="true" s="8">
      <c r="A55" s="11"/>
      <c r="B55" s="11" t="s">
        <v>113</v>
      </c>
      <c r="C55" s="11" t="s">
        <v>111</v>
      </c>
      <c r="D55" s="12">
        <v>47339.8800</v>
      </c>
      <c r="E55" s="11"/>
      <c r="F55" s="11"/>
      <c r="G55" s="11"/>
      <c r="H55" s="12">
        <v>56453.3300</v>
      </c>
      <c r="I55" s="11"/>
    </row>
    <row r="56" ht="10.95" customHeight="true" customFormat="true" s="8">
      <c r="A56" s="11" t="s">
        <v>114</v>
      </c>
      <c r="B56" s="11" t="s">
        <v>115</v>
      </c>
      <c r="C56" s="11" t="s">
        <v>116</v>
      </c>
      <c r="D56" s="12">
        <v>1247309.3600</v>
      </c>
      <c r="E56" s="11" t="s">
        <v>112</v>
      </c>
      <c r="F56" s="11"/>
      <c r="G56" s="11"/>
      <c r="H56" s="12">
        <v>1620339.9700</v>
      </c>
      <c r="I56" s="11" t="s">
        <v>112</v>
      </c>
    </row>
    <row r="57" ht="10.95" customHeight="true" customFormat="true" s="8">
      <c r="A57" s="11" t="s">
        <v>117</v>
      </c>
      <c r="B57" s="11" t="s">
        <v>118</v>
      </c>
      <c r="C57" s="11" t="s">
        <v>116</v>
      </c>
      <c r="D57" s="12">
        <v>0</v>
      </c>
      <c r="E57" s="11"/>
      <c r="F57" s="11"/>
      <c r="G57" s="11"/>
      <c r="H57" s="12">
        <v>-114.0000</v>
      </c>
      <c r="I57" s="11"/>
    </row>
    <row r="58" ht="10.95" customHeight="true" customFormat="true" s="8">
      <c r="A58" s="11" t="s">
        <v>119</v>
      </c>
      <c r="B58" s="11" t="s">
        <v>120</v>
      </c>
      <c r="C58" s="11" t="s">
        <v>121</v>
      </c>
      <c r="D58" s="12">
        <v>1658.1300</v>
      </c>
      <c r="E58" s="11"/>
      <c r="F58" s="11"/>
      <c r="G58" s="11"/>
      <c r="H58" s="12">
        <v>1038.6600</v>
      </c>
      <c r="I58" s="11"/>
    </row>
    <row r="59" ht="10.95" customHeight="true" customFormat="true" s="8">
      <c r="A59" s="11" t="s">
        <v>122</v>
      </c>
      <c r="B59" s="11" t="s">
        <v>123</v>
      </c>
      <c r="C59" s="11" t="s">
        <v>124</v>
      </c>
      <c r="D59" s="12">
        <v>2675.1100</v>
      </c>
      <c r="E59" s="11"/>
      <c r="F59" s="11"/>
      <c r="G59" s="11"/>
      <c r="H59" s="12">
        <v>0</v>
      </c>
      <c r="I59" s="11"/>
    </row>
    <row r="60" ht="10.95" customHeight="true" customFormat="true" s="8">
      <c r="A60" s="11" t="s">
        <v>125</v>
      </c>
      <c r="B60" s="11" t="s">
        <v>126</v>
      </c>
      <c r="C60" s="11" t="s">
        <v>124</v>
      </c>
      <c r="D60" s="11"/>
      <c r="E60" s="11"/>
      <c r="F60" s="12">
        <v>492.5200</v>
      </c>
      <c r="G60" s="11"/>
      <c r="H60" s="12">
        <v>0</v>
      </c>
      <c r="I60" s="11"/>
    </row>
    <row r="61" ht="10.95" customHeight="true" customFormat="true" s="8">
      <c r="A61" s="11" t="s">
        <v>127</v>
      </c>
      <c r="B61" s="11" t="s">
        <v>128</v>
      </c>
      <c r="C61" s="11" t="s">
        <v>124</v>
      </c>
      <c r="D61" s="12">
        <v>4180.0000</v>
      </c>
      <c r="E61" s="11"/>
      <c r="F61" s="11"/>
      <c r="G61" s="11"/>
      <c r="H61" s="12">
        <v>4180.0000</v>
      </c>
      <c r="I61" s="11"/>
    </row>
    <row r="62" ht="10.95" customHeight="true" customFormat="true" s="8">
      <c r="A62" s="11" t="s">
        <v>129</v>
      </c>
      <c r="B62" s="11" t="s">
        <v>130</v>
      </c>
      <c r="C62" s="11" t="s">
        <v>124</v>
      </c>
      <c r="D62" s="11"/>
      <c r="E62" s="11"/>
      <c r="F62" s="12">
        <v>3644.5400</v>
      </c>
      <c r="G62" s="11"/>
      <c r="H62" s="12">
        <v>-3109.0700</v>
      </c>
      <c r="I62" s="11"/>
    </row>
    <row r="63" ht="10.95" customHeight="true" customFormat="true" s="8">
      <c r="A63" s="11" t="s">
        <v>131</v>
      </c>
      <c r="B63" s="11" t="s">
        <v>132</v>
      </c>
      <c r="C63" s="11" t="s">
        <v>133</v>
      </c>
      <c r="D63" s="11"/>
      <c r="E63" s="11"/>
      <c r="F63" s="12">
        <v>1467375.6200</v>
      </c>
      <c r="G63" s="11" t="s">
        <v>112</v>
      </c>
      <c r="H63" s="12">
        <v>-2221081.9500</v>
      </c>
      <c r="I63" s="11" t="s">
        <v>112</v>
      </c>
    </row>
    <row r="64" ht="10.95" customHeight="true" customFormat="true" s="8">
      <c r="A64" s="11" t="s">
        <v>134</v>
      </c>
      <c r="B64" s="11" t="s">
        <v>135</v>
      </c>
      <c r="C64" s="11" t="s">
        <v>133</v>
      </c>
      <c r="D64" s="11"/>
      <c r="E64" s="11"/>
      <c r="F64" s="12">
        <v>2603.9800</v>
      </c>
      <c r="G64" s="11"/>
      <c r="H64" s="12">
        <v>0</v>
      </c>
      <c r="I64" s="11"/>
    </row>
    <row r="65" ht="10.95" customHeight="true" customFormat="true" s="8">
      <c r="A65" s="11" t="s">
        <v>136</v>
      </c>
      <c r="B65" s="11" t="s">
        <v>137</v>
      </c>
      <c r="C65" s="11" t="s">
        <v>133</v>
      </c>
      <c r="D65" s="11"/>
      <c r="E65" s="11"/>
      <c r="F65" s="12">
        <v>1758.7100</v>
      </c>
      <c r="G65" s="11"/>
      <c r="H65" s="12">
        <v>0</v>
      </c>
      <c r="I65" s="11"/>
    </row>
    <row r="66" ht="10.95" customHeight="true" customFormat="true" s="8">
      <c r="A66" s="11" t="s">
        <v>138</v>
      </c>
      <c r="B66" s="11" t="s">
        <v>139</v>
      </c>
      <c r="C66" s="11" t="s">
        <v>133</v>
      </c>
      <c r="D66" s="11"/>
      <c r="E66" s="11"/>
      <c r="F66" s="12">
        <v>1178.7400</v>
      </c>
      <c r="G66" s="11"/>
      <c r="H66" s="12">
        <v>0</v>
      </c>
      <c r="I66" s="11"/>
    </row>
    <row r="67" ht="10.95" customHeight="true" customFormat="true" s="8">
      <c r="A67" s="11" t="s">
        <v>140</v>
      </c>
      <c r="B67" s="11" t="s">
        <v>141</v>
      </c>
      <c r="C67" s="11" t="s">
        <v>133</v>
      </c>
      <c r="D67" s="12">
        <v>1072.0400</v>
      </c>
      <c r="E67" s="11"/>
      <c r="F67" s="11"/>
      <c r="G67" s="11"/>
      <c r="H67" s="12">
        <v>1874.4500</v>
      </c>
      <c r="I67" s="11"/>
    </row>
    <row r="68" ht="10.95" customHeight="true" customFormat="true" s="8">
      <c r="A68" s="11" t="s">
        <v>142</v>
      </c>
      <c r="B68" s="11" t="s">
        <v>143</v>
      </c>
      <c r="C68" s="11" t="s">
        <v>133</v>
      </c>
      <c r="D68" s="11"/>
      <c r="E68" s="11"/>
      <c r="F68" s="12">
        <v>0</v>
      </c>
      <c r="G68" s="11"/>
      <c r="H68" s="12">
        <v>90.0000</v>
      </c>
      <c r="I68" s="11"/>
    </row>
    <row r="69" ht="10.95" customHeight="true" customFormat="true" s="8">
      <c r="A69" s="11" t="s">
        <v>144</v>
      </c>
      <c r="B69" s="11" t="s">
        <v>145</v>
      </c>
      <c r="C69" s="11" t="s">
        <v>133</v>
      </c>
      <c r="D69" s="11"/>
      <c r="E69" s="11"/>
      <c r="F69" s="12">
        <v>19859.9900</v>
      </c>
      <c r="G69" s="11"/>
      <c r="H69" s="12">
        <v>-6804.1900</v>
      </c>
      <c r="I69" s="11"/>
    </row>
    <row r="70" ht="10.95" customHeight="true" customFormat="true" s="8">
      <c r="A70" s="11" t="s">
        <v>146</v>
      </c>
      <c r="B70" s="11" t="s">
        <v>147</v>
      </c>
      <c r="C70" s="11" t="s">
        <v>133</v>
      </c>
      <c r="D70" s="11"/>
      <c r="E70" s="11"/>
      <c r="F70" s="12">
        <v>13646.3600</v>
      </c>
      <c r="G70" s="11"/>
      <c r="H70" s="12">
        <v>-10044.4500</v>
      </c>
      <c r="I70" s="11"/>
    </row>
    <row r="71" ht="10.95" customHeight="true" customFormat="true" s="8">
      <c r="A71" s="11" t="s">
        <v>148</v>
      </c>
      <c r="B71" s="11" t="s">
        <v>149</v>
      </c>
      <c r="C71" s="11" t="s">
        <v>133</v>
      </c>
      <c r="D71" s="11"/>
      <c r="E71" s="11"/>
      <c r="F71" s="12">
        <v>17822.1000</v>
      </c>
      <c r="G71" s="11"/>
      <c r="H71" s="12">
        <v>-33864.9000</v>
      </c>
      <c r="I71" s="11"/>
    </row>
    <row r="72" ht="10.95" customHeight="true" customFormat="true" s="8">
      <c r="A72" s="11" t="s">
        <v>150</v>
      </c>
      <c r="B72" s="11" t="s">
        <v>151</v>
      </c>
      <c r="C72" s="11" t="s">
        <v>133</v>
      </c>
      <c r="D72" s="12">
        <v>26131.6000</v>
      </c>
      <c r="E72" s="11"/>
      <c r="F72" s="11"/>
      <c r="G72" s="11"/>
      <c r="H72" s="12">
        <v>0</v>
      </c>
      <c r="I72" s="11"/>
    </row>
    <row r="73" ht="10.95" customHeight="true" customFormat="true" s="8">
      <c r="A73" s="11" t="s">
        <v>152</v>
      </c>
      <c r="B73" s="11" t="s">
        <v>153</v>
      </c>
      <c r="C73" s="11" t="s">
        <v>133</v>
      </c>
      <c r="D73" s="11"/>
      <c r="E73" s="11"/>
      <c r="F73" s="12">
        <v>32961.1700</v>
      </c>
      <c r="G73" s="11"/>
      <c r="H73" s="12">
        <v>-30202.1500</v>
      </c>
      <c r="I73" s="11"/>
    </row>
    <row r="74" ht="10.95" customHeight="true" customFormat="true" s="8">
      <c r="A74" s="11" t="s">
        <v>154</v>
      </c>
      <c r="B74" s="11" t="s">
        <v>155</v>
      </c>
      <c r="C74" s="11" t="s">
        <v>156</v>
      </c>
      <c r="D74" s="12">
        <v>6566.7200</v>
      </c>
      <c r="E74" s="11"/>
      <c r="F74" s="11"/>
      <c r="G74" s="11"/>
      <c r="H74" s="12">
        <v>56730.9800</v>
      </c>
      <c r="I74" s="11"/>
    </row>
    <row r="75" ht="10.95" customHeight="true" customFormat="true" s="8">
      <c r="A75" s="11" t="s">
        <v>157</v>
      </c>
      <c r="B75" s="11" t="s">
        <v>158</v>
      </c>
      <c r="C75" s="11" t="s">
        <v>156</v>
      </c>
      <c r="D75" s="11"/>
      <c r="E75" s="11"/>
      <c r="F75" s="12">
        <v>10.0000</v>
      </c>
      <c r="G75" s="11"/>
      <c r="H75" s="12">
        <v>-10.0000</v>
      </c>
      <c r="I75" s="11"/>
    </row>
    <row r="76" ht="10.95" customHeight="true" customFormat="true" s="8">
      <c r="A76" s="13" t="s">
        <v>159</v>
      </c>
      <c r="B76" s="13"/>
      <c r="C76" s="13"/>
      <c r="D76" s="14">
        <f ca="1">SUM(D6:D75)</f>
        <v>0</v>
      </c>
      <c r="E76" s="13"/>
      <c r="F76" s="14">
        <f ca="1">SUM(F6:F75)</f>
        <v>0</v>
      </c>
      <c r="G76" s="13"/>
      <c r="H76" s="14">
        <f ca="1">SUM(H6:H75)</f>
        <v>0</v>
      </c>
      <c r="I76" s="13"/>
    </row>
    <row r="77" ht="13.35" customHeight="true"/>
    <row r="78" ht="13.35" customHeight="true"/>
    <row r="79" ht="10.95" customHeight="true">
      <c r="A79" s="15" t="s">
        <v>160</v>
      </c>
    </row>
    <row r="80" ht="10.95" customHeight="true">
      <c r="A80" s="16" t="s">
        <v>161</v>
      </c>
    </row>
    <row r="81" ht="10.95" customHeight="true">
      <c r="A81" s="15" t="s">
        <v>162</v>
      </c>
    </row>
    <row r="82" ht="10.95" customHeight="true">
      <c r="A82" s="16" t="s">
        <v>8</v>
      </c>
    </row>
    <row r="83" ht="10.95" customHeight="true">
      <c r="A83" s="15" t="s">
        <v>163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