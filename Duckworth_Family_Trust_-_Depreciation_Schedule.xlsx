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Depreciation Schedule" sheetId="1" r:id="rId1"/>
  </sheets>
  <calcPr calcId="162913"/>
</workbook>
</file>

<file path=xl/sharedStrings.xml><?xml version="1.0" encoding="utf-8"?>
<sst xmlns="http://schemas.openxmlformats.org/spreadsheetml/2006/main" count="47" uniqueCount="47">
  <si>
    <t>Depreciation Schedule</t>
  </si>
  <si>
    <t>Duckworth Family Trust</t>
  </si>
  <si>
    <t>For the year ended 31 March 2025</t>
  </si>
  <si>
    <t>Name</t>
  </si>
  <si>
    <t>Cost</t>
  </si>
  <si>
    <t>Opening Value</t>
  </si>
  <si>
    <t>Purchased</t>
  </si>
  <si>
    <t>Purchases</t>
  </si>
  <si>
    <t>Sale Price</t>
  </si>
  <si>
    <t>Loss</t>
  </si>
  <si>
    <t>Dep Recovered</t>
  </si>
  <si>
    <t>Capital Gain</t>
  </si>
  <si>
    <t>Method</t>
  </si>
  <si>
    <t>Rate</t>
  </si>
  <si>
    <t>Depreciation</t>
  </si>
  <si>
    <t>Closing Accum Dep</t>
  </si>
  <si>
    <t>Closing Value</t>
  </si>
  <si>
    <t>Private Use Amount</t>
  </si>
  <si>
    <t>Private Use %</t>
  </si>
  <si>
    <t>222 Whitford Road, Northpark</t>
  </si>
  <si>
    <t>Borepump</t>
  </si>
  <si>
    <t>DV</t>
  </si>
  <si>
    <t>Flooring</t>
  </si>
  <si>
    <t xml:space="preserve">Heatpump </t>
  </si>
  <si>
    <t>Log Splitter</t>
  </si>
  <si>
    <t>Lot 1, 222 Whitford Road, Northpark</t>
  </si>
  <si>
    <t>None</t>
  </si>
  <si>
    <t>Lot 2, 222 Whitford Road, Northpark</t>
  </si>
  <si>
    <t xml:space="preserve">Septic Tank </t>
  </si>
  <si>
    <t>Site work in progress</t>
  </si>
  <si>
    <t>VICTA 560 Mulchmaster Mower</t>
  </si>
  <si>
    <t>Total 222 Whitford Road, Northpark</t>
  </si>
  <si>
    <t>224 Whitford Road, Northpark</t>
  </si>
  <si>
    <t>Buildings</t>
  </si>
  <si>
    <t>Land</t>
  </si>
  <si>
    <t>Total 224 Whitford Road, Northpark</t>
  </si>
  <si>
    <t>2H Lady Ruby Drive, East Tamaki</t>
  </si>
  <si>
    <t>Total 2H Lady Ruby Drive, East Tamaki</t>
  </si>
  <si>
    <t>3 Greenpark Road, Penrose</t>
  </si>
  <si>
    <t>Electric Door</t>
  </si>
  <si>
    <t>Total 3 Greenpark Road, Penrose</t>
  </si>
  <si>
    <t>Plant &amp; Equipment</t>
  </si>
  <si>
    <t>John Dere Mower</t>
  </si>
  <si>
    <t>Total Plant &amp; Equipment</t>
  </si>
  <si>
    <t>Unit B, 69 Union Road, Howick</t>
  </si>
  <si>
    <t>Total Unit B, 69 Union Road, Howick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</si>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</sst>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166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165" fontId="0" fillId="0" borderId="2" xfId="0" applyNumberFormat="true" applyFont="true" applyBorder="true" applyAlignment="true">
      <alignment horizontal="left" vertical="center"/>
    </xf>
    <xf numFmtId="166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P44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39.83203125" customWidth="1"/>
    <col min="2" max="2" width="12.83203125" customWidth="1"/>
    <col min="3" max="3" width="17" customWidth="1"/>
    <col min="4" max="4" width="12.83203125" customWidth="1"/>
    <col min="5" max="5" width="12" customWidth="1"/>
    <col min="6" max="6" width="11.66015625" customWidth="1"/>
    <col min="7" max="7" width="6" customWidth="1"/>
    <col min="8" max="8" width="17" customWidth="1"/>
    <col min="9" max="9" width="14.83203125" customWidth="1"/>
    <col min="11" max="11" width="8" customWidth="1"/>
    <col min="12" max="12" width="14.66015625" customWidth="1"/>
    <col min="13" max="13" width="22" customWidth="1"/>
    <col min="14" max="14" width="16" customWidth="1"/>
    <col min="15" max="15" width="22.5" customWidth="1"/>
    <col min="16" max="16" width="16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6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6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</row>
    <row r="6" ht="13.35" customHeight="true"/>
    <row r="7" ht="12.1" customHeight="true" customFormat="true" s="5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0.95" customHeight="true" customFormat="true" s="9">
      <c r="A8" s="10" t="s">
        <v>20</v>
      </c>
      <c r="B8" s="11">
        <v>3347.6800</v>
      </c>
      <c r="C8" s="11">
        <v>0</v>
      </c>
      <c r="D8" s="12">
        <v>45650</v>
      </c>
      <c r="E8" s="11">
        <v>3347.6800</v>
      </c>
      <c r="F8" s="11">
        <v>0</v>
      </c>
      <c r="G8" s="11">
        <v>0</v>
      </c>
      <c r="H8" s="11">
        <v>0</v>
      </c>
      <c r="I8" s="11">
        <v>0</v>
      </c>
      <c r="J8" s="10" t="s">
        <v>21</v>
      </c>
      <c r="K8" s="13">
        <v>10.00</v>
      </c>
      <c r="L8" s="11">
        <v>111.590000</v>
      </c>
      <c r="M8" s="11">
        <v>111.590000</v>
      </c>
      <c r="N8" s="11">
        <v>3236.090000</v>
      </c>
      <c r="O8" s="11">
        <v>0</v>
      </c>
      <c r="P8" s="13">
        <v>0</v>
      </c>
    </row>
    <row r="9" ht="10.95" customHeight="true" customFormat="true" s="9">
      <c r="A9" s="14" t="s">
        <v>22</v>
      </c>
      <c r="B9" s="15">
        <v>5537.2500</v>
      </c>
      <c r="C9" s="15">
        <v>4817.410000</v>
      </c>
      <c r="D9" s="16">
        <v>45033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4" t="s">
        <v>21</v>
      </c>
      <c r="K9" s="17">
        <v>13.00</v>
      </c>
      <c r="L9" s="15">
        <v>626.260000</v>
      </c>
      <c r="M9" s="15">
        <v>1346.100000</v>
      </c>
      <c r="N9" s="15">
        <v>4191.150000</v>
      </c>
      <c r="O9" s="15">
        <v>0</v>
      </c>
      <c r="P9" s="17">
        <v>0</v>
      </c>
    </row>
    <row r="10" ht="10.95" customHeight="true" customFormat="true" s="9">
      <c r="A10" s="14" t="s">
        <v>23</v>
      </c>
      <c r="B10" s="15">
        <v>2278.0000</v>
      </c>
      <c r="C10" s="15">
        <v>671.740000</v>
      </c>
      <c r="D10" s="16">
        <v>44286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4" t="s">
        <v>21</v>
      </c>
      <c r="K10" s="17">
        <v>20.00</v>
      </c>
      <c r="L10" s="15">
        <v>134.350000</v>
      </c>
      <c r="M10" s="15">
        <v>1740.610000</v>
      </c>
      <c r="N10" s="15">
        <v>537.390000</v>
      </c>
      <c r="O10" s="15">
        <v>0</v>
      </c>
      <c r="P10" s="17">
        <v>0</v>
      </c>
    </row>
    <row r="11" ht="10.95" customHeight="true" customFormat="true" s="9">
      <c r="A11" s="14" t="s">
        <v>24</v>
      </c>
      <c r="B11" s="15">
        <v>2699.9000</v>
      </c>
      <c r="C11" s="15">
        <v>1979.930000</v>
      </c>
      <c r="D11" s="16">
        <v>44876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4" t="s">
        <v>21</v>
      </c>
      <c r="K11" s="17">
        <v>20.00</v>
      </c>
      <c r="L11" s="15">
        <v>197.990000</v>
      </c>
      <c r="M11" s="15">
        <v>1115.960000</v>
      </c>
      <c r="N11" s="15">
        <v>1583.940000</v>
      </c>
      <c r="O11" s="15">
        <v>198.0000</v>
      </c>
      <c r="P11" s="17">
        <v>50.00</v>
      </c>
    </row>
    <row r="12" ht="10.95" customHeight="true" customFormat="true" s="9">
      <c r="A12" s="14" t="s">
        <v>25</v>
      </c>
      <c r="B12" s="15">
        <v>337500.0000</v>
      </c>
      <c r="C12" s="15">
        <v>337500.000000</v>
      </c>
      <c r="D12" s="16">
        <v>44286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4" t="s">
        <v>26</v>
      </c>
      <c r="K12" s="17">
        <v>0</v>
      </c>
      <c r="L12" s="15">
        <v>0</v>
      </c>
      <c r="M12" s="15">
        <v>0</v>
      </c>
      <c r="N12" s="15">
        <v>337500.000000</v>
      </c>
      <c r="O12" s="15">
        <v>0</v>
      </c>
      <c r="P12" s="17">
        <v>0</v>
      </c>
    </row>
    <row r="13" ht="10.95" customHeight="true" customFormat="true" s="9">
      <c r="A13" s="14" t="s">
        <v>27</v>
      </c>
      <c r="B13" s="15">
        <v>650000.0000</v>
      </c>
      <c r="C13" s="15">
        <v>650000.000000</v>
      </c>
      <c r="D13" s="16">
        <v>44286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4" t="s">
        <v>26</v>
      </c>
      <c r="K13" s="17">
        <v>0</v>
      </c>
      <c r="L13" s="15">
        <v>0</v>
      </c>
      <c r="M13" s="15">
        <v>0</v>
      </c>
      <c r="N13" s="15">
        <v>650000.000000</v>
      </c>
      <c r="O13" s="15">
        <v>0</v>
      </c>
      <c r="P13" s="17">
        <v>0</v>
      </c>
    </row>
    <row r="14" ht="10.95" customHeight="true" customFormat="true" s="9">
      <c r="A14" s="14" t="s">
        <v>28</v>
      </c>
      <c r="B14" s="15">
        <v>30340.0000</v>
      </c>
      <c r="C14" s="15">
        <v>24138.990000</v>
      </c>
      <c r="D14" s="16">
        <v>44392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4" t="s">
        <v>21</v>
      </c>
      <c r="K14" s="17">
        <v>8.00</v>
      </c>
      <c r="L14" s="15">
        <v>1931.120000</v>
      </c>
      <c r="M14" s="15">
        <v>8132.130000</v>
      </c>
      <c r="N14" s="15">
        <v>22207.870000</v>
      </c>
      <c r="O14" s="15">
        <v>0</v>
      </c>
      <c r="P14" s="17">
        <v>0</v>
      </c>
    </row>
    <row r="15" ht="10.95" customHeight="true" customFormat="true" s="9">
      <c r="A15" s="14" t="s">
        <v>29</v>
      </c>
      <c r="B15" s="15">
        <v>17278.0000</v>
      </c>
      <c r="C15" s="15">
        <v>17278.000000</v>
      </c>
      <c r="D15" s="16">
        <v>44286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4" t="s">
        <v>26</v>
      </c>
      <c r="K15" s="17">
        <v>0</v>
      </c>
      <c r="L15" s="15">
        <v>0</v>
      </c>
      <c r="M15" s="15">
        <v>0</v>
      </c>
      <c r="N15" s="15">
        <v>17278.000000</v>
      </c>
      <c r="O15" s="15">
        <v>0</v>
      </c>
      <c r="P15" s="17">
        <v>0</v>
      </c>
    </row>
    <row r="16" ht="10.95" customHeight="true" customFormat="true" s="9">
      <c r="A16" s="14" t="s">
        <v>30</v>
      </c>
      <c r="B16" s="15">
        <v>2449.0000</v>
      </c>
      <c r="C16" s="15">
        <v>0</v>
      </c>
      <c r="D16" s="16">
        <v>45727</v>
      </c>
      <c r="E16" s="15">
        <v>2449.0000</v>
      </c>
      <c r="F16" s="15">
        <v>0</v>
      </c>
      <c r="G16" s="15">
        <v>0</v>
      </c>
      <c r="H16" s="15">
        <v>0</v>
      </c>
      <c r="I16" s="15">
        <v>0</v>
      </c>
      <c r="J16" s="14" t="s">
        <v>21</v>
      </c>
      <c r="K16" s="17">
        <v>50.00</v>
      </c>
      <c r="L16" s="15">
        <v>102.040000</v>
      </c>
      <c r="M16" s="15">
        <v>102.040000</v>
      </c>
      <c r="N16" s="15">
        <v>2346.960000</v>
      </c>
      <c r="O16" s="15">
        <v>0</v>
      </c>
      <c r="P16" s="17">
        <v>0</v>
      </c>
    </row>
    <row r="17" ht="10.95" customHeight="true" customFormat="true" s="9">
      <c r="A17" s="18" t="s">
        <v>31</v>
      </c>
      <c r="B17" s="19">
        <f ca="1">SUM(B8:B16)</f>
        <v>0</v>
      </c>
      <c r="C17" s="19">
        <f ca="1">SUM(C8:C16)</f>
        <v>0</v>
      </c>
      <c r="D17" s="18"/>
      <c r="E17" s="19">
        <f ca="1">SUM(E8:E16)</f>
        <v>0</v>
      </c>
      <c r="F17" s="19">
        <f ca="1">SUM(F8:F16)</f>
        <v>0</v>
      </c>
      <c r="G17" s="19">
        <f ca="1">SUM(G8:G16)</f>
        <v>0</v>
      </c>
      <c r="H17" s="19">
        <f ca="1">SUM(H8:H16)</f>
        <v>0</v>
      </c>
      <c r="I17" s="19">
        <f ca="1">SUM(I8:I16)</f>
        <v>0</v>
      </c>
      <c r="J17" s="18"/>
      <c r="K17" s="18"/>
      <c r="L17" s="19">
        <f ca="1">SUM(L8:L16)</f>
        <v>0</v>
      </c>
      <c r="M17" s="19">
        <f ca="1">SUM(M8:M16)</f>
        <v>0</v>
      </c>
      <c r="N17" s="19">
        <f ca="1">SUM(N8:N16)</f>
        <v>0</v>
      </c>
      <c r="O17" s="19">
        <f ca="1">SUM(O8:O16)</f>
        <v>0</v>
      </c>
      <c r="P17" s="18"/>
    </row>
    <row r="18" ht="13.35" customHeight="true"/>
    <row r="19" ht="12.1" customHeight="true" customFormat="true" s="5">
      <c r="A19" s="8" t="s">
        <v>32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10.95" customHeight="true" customFormat="true" s="9">
      <c r="A20" s="10" t="s">
        <v>33</v>
      </c>
      <c r="B20" s="11">
        <v>650000.0000</v>
      </c>
      <c r="C20" s="11">
        <v>650000.000000</v>
      </c>
      <c r="D20" s="12">
        <v>44286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0" t="s">
        <v>26</v>
      </c>
      <c r="K20" s="10"/>
      <c r="L20" s="11">
        <v>0</v>
      </c>
      <c r="M20" s="11">
        <v>0</v>
      </c>
      <c r="N20" s="11">
        <v>650000.000000</v>
      </c>
      <c r="O20" s="11">
        <v>0</v>
      </c>
      <c r="P20" s="13">
        <v>0</v>
      </c>
    </row>
    <row r="21" ht="10.95" customHeight="true" customFormat="true" s="9">
      <c r="A21" s="14" t="s">
        <v>34</v>
      </c>
      <c r="B21" s="15">
        <v>975000.0000</v>
      </c>
      <c r="C21" s="15">
        <v>975000.000000</v>
      </c>
      <c r="D21" s="16">
        <v>44286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4" t="s">
        <v>26</v>
      </c>
      <c r="K21" s="14"/>
      <c r="L21" s="15">
        <v>0</v>
      </c>
      <c r="M21" s="15">
        <v>0</v>
      </c>
      <c r="N21" s="15">
        <v>975000.000000</v>
      </c>
      <c r="O21" s="15">
        <v>0</v>
      </c>
      <c r="P21" s="17">
        <v>0</v>
      </c>
    </row>
    <row r="22" ht="10.95" customHeight="true" customFormat="true" s="9">
      <c r="A22" s="18" t="s">
        <v>35</v>
      </c>
      <c r="B22" s="19">
        <f ca="1">SUM(B20:B21)</f>
        <v>0</v>
      </c>
      <c r="C22" s="19">
        <f ca="1">SUM(C20:C21)</f>
        <v>0</v>
      </c>
      <c r="D22" s="18"/>
      <c r="E22" s="19">
        <f ca="1">SUM(E20:E21)</f>
        <v>0</v>
      </c>
      <c r="F22" s="19">
        <f ca="1">SUM(F20:F21)</f>
        <v>0</v>
      </c>
      <c r="G22" s="19">
        <f ca="1">SUM(G20:G21)</f>
        <v>0</v>
      </c>
      <c r="H22" s="19">
        <f ca="1">SUM(H20:H21)</f>
        <v>0</v>
      </c>
      <c r="I22" s="19">
        <f ca="1">SUM(I20:I21)</f>
        <v>0</v>
      </c>
      <c r="J22" s="18"/>
      <c r="K22" s="18"/>
      <c r="L22" s="19">
        <f ca="1">SUM(L20:L21)</f>
        <v>0</v>
      </c>
      <c r="M22" s="19">
        <f ca="1">SUM(M20:M21)</f>
        <v>0</v>
      </c>
      <c r="N22" s="19">
        <f ca="1">SUM(N20:N21)</f>
        <v>0</v>
      </c>
      <c r="O22" s="19">
        <f ca="1">SUM(O20:O21)</f>
        <v>0</v>
      </c>
      <c r="P22" s="18"/>
    </row>
    <row r="23" ht="13.35" customHeight="true"/>
    <row r="24" ht="12.1" customHeight="true" customFormat="true" s="5">
      <c r="A24" s="8" t="s">
        <v>36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10.95" customHeight="true" customFormat="true" s="9">
      <c r="A25" s="10" t="s">
        <v>33</v>
      </c>
      <c r="B25" s="11">
        <v>782417.0000</v>
      </c>
      <c r="C25" s="11">
        <v>452889.350000</v>
      </c>
      <c r="D25" s="12">
        <v>44286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0" t="s">
        <v>21</v>
      </c>
      <c r="K25" s="13">
        <v>2.00</v>
      </c>
      <c r="L25" s="11">
        <v>9057.790000</v>
      </c>
      <c r="M25" s="11">
        <v>338585.440000</v>
      </c>
      <c r="N25" s="11">
        <v>443831.560000</v>
      </c>
      <c r="O25" s="11">
        <v>0</v>
      </c>
      <c r="P25" s="13">
        <v>0</v>
      </c>
    </row>
    <row r="26" ht="10.95" customHeight="true" customFormat="true" s="9">
      <c r="A26" s="14" t="s">
        <v>34</v>
      </c>
      <c r="B26" s="15">
        <v>350000.0000</v>
      </c>
      <c r="C26" s="15">
        <v>350000.000000</v>
      </c>
      <c r="D26" s="16">
        <v>44286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4" t="s">
        <v>26</v>
      </c>
      <c r="K26" s="14"/>
      <c r="L26" s="15">
        <v>0</v>
      </c>
      <c r="M26" s="15">
        <v>0</v>
      </c>
      <c r="N26" s="15">
        <v>350000.000000</v>
      </c>
      <c r="O26" s="15">
        <v>0</v>
      </c>
      <c r="P26" s="17">
        <v>0</v>
      </c>
    </row>
    <row r="27" ht="10.95" customHeight="true" customFormat="true" s="9">
      <c r="A27" s="18" t="s">
        <v>37</v>
      </c>
      <c r="B27" s="19">
        <f ca="1">SUM(B25:B26)</f>
        <v>0</v>
      </c>
      <c r="C27" s="19">
        <f ca="1">SUM(C25:C26)</f>
        <v>0</v>
      </c>
      <c r="D27" s="18"/>
      <c r="E27" s="19">
        <f ca="1">SUM(E25:E26)</f>
        <v>0</v>
      </c>
      <c r="F27" s="19">
        <f ca="1">SUM(F25:F26)</f>
        <v>0</v>
      </c>
      <c r="G27" s="19">
        <f ca="1">SUM(G25:G26)</f>
        <v>0</v>
      </c>
      <c r="H27" s="19">
        <f ca="1">SUM(H25:H26)</f>
        <v>0</v>
      </c>
      <c r="I27" s="19">
        <f ca="1">SUM(I25:I26)</f>
        <v>0</v>
      </c>
      <c r="J27" s="18"/>
      <c r="K27" s="18"/>
      <c r="L27" s="19">
        <f ca="1">SUM(L25:L26)</f>
        <v>0</v>
      </c>
      <c r="M27" s="19">
        <f ca="1">SUM(M25:M26)</f>
        <v>0</v>
      </c>
      <c r="N27" s="19">
        <f ca="1">SUM(N25:N26)</f>
        <v>0</v>
      </c>
      <c r="O27" s="19">
        <f ca="1">SUM(O25:O26)</f>
        <v>0</v>
      </c>
      <c r="P27" s="18"/>
    </row>
    <row r="28" ht="13.35" customHeight="true"/>
    <row r="29" ht="12.1" customHeight="true" customFormat="true" s="5">
      <c r="A29" s="8" t="s">
        <v>38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ht="10.95" customHeight="true" customFormat="true" s="9">
      <c r="A30" s="10" t="s">
        <v>33</v>
      </c>
      <c r="B30" s="11">
        <v>399594.0000</v>
      </c>
      <c r="C30" s="11">
        <v>376094.680000</v>
      </c>
      <c r="D30" s="12">
        <v>44286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0" t="s">
        <v>21</v>
      </c>
      <c r="K30" s="13">
        <v>2.00</v>
      </c>
      <c r="L30" s="11">
        <v>7521.890000</v>
      </c>
      <c r="M30" s="11">
        <v>31021.210000</v>
      </c>
      <c r="N30" s="11">
        <v>368572.790000</v>
      </c>
      <c r="O30" s="11">
        <v>0</v>
      </c>
      <c r="P30" s="13">
        <v>0</v>
      </c>
    </row>
    <row r="31" ht="10.95" customHeight="true" customFormat="true" s="9">
      <c r="A31" s="14" t="s">
        <v>39</v>
      </c>
      <c r="B31" s="15">
        <v>4206.0000</v>
      </c>
      <c r="C31" s="15">
        <v>4206.000000</v>
      </c>
      <c r="D31" s="16">
        <v>44286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4" t="s">
        <v>26</v>
      </c>
      <c r="K31" s="14"/>
      <c r="L31" s="15">
        <v>0</v>
      </c>
      <c r="M31" s="15">
        <v>0</v>
      </c>
      <c r="N31" s="15">
        <v>4206.000000</v>
      </c>
      <c r="O31" s="15">
        <v>0</v>
      </c>
      <c r="P31" s="17">
        <v>0</v>
      </c>
    </row>
    <row r="32" ht="10.95" customHeight="true" customFormat="true" s="9">
      <c r="A32" s="14" t="s">
        <v>34</v>
      </c>
      <c r="B32" s="15">
        <v>1010406.0000</v>
      </c>
      <c r="C32" s="15">
        <v>1010406.000000</v>
      </c>
      <c r="D32" s="16">
        <v>44286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4" t="s">
        <v>26</v>
      </c>
      <c r="K32" s="14"/>
      <c r="L32" s="15">
        <v>0</v>
      </c>
      <c r="M32" s="15">
        <v>0</v>
      </c>
      <c r="N32" s="15">
        <v>1010406.000000</v>
      </c>
      <c r="O32" s="15">
        <v>0</v>
      </c>
      <c r="P32" s="17">
        <v>0</v>
      </c>
    </row>
    <row r="33" ht="10.95" customHeight="true" customFormat="true" s="9">
      <c r="A33" s="18" t="s">
        <v>40</v>
      </c>
      <c r="B33" s="19">
        <f ca="1">SUM(B30:B32)</f>
        <v>0</v>
      </c>
      <c r="C33" s="19">
        <f ca="1">SUM(C30:C32)</f>
        <v>0</v>
      </c>
      <c r="D33" s="18"/>
      <c r="E33" s="19">
        <f ca="1">SUM(E30:E32)</f>
        <v>0</v>
      </c>
      <c r="F33" s="19">
        <f ca="1">SUM(F30:F32)</f>
        <v>0</v>
      </c>
      <c r="G33" s="19">
        <f ca="1">SUM(G30:G32)</f>
        <v>0</v>
      </c>
      <c r="H33" s="19">
        <f ca="1">SUM(H30:H32)</f>
        <v>0</v>
      </c>
      <c r="I33" s="19">
        <f ca="1">SUM(I30:I32)</f>
        <v>0</v>
      </c>
      <c r="J33" s="18"/>
      <c r="K33" s="18"/>
      <c r="L33" s="19">
        <f ca="1">SUM(L30:L32)</f>
        <v>0</v>
      </c>
      <c r="M33" s="19">
        <f ca="1">SUM(M30:M32)</f>
        <v>0</v>
      </c>
      <c r="N33" s="19">
        <f ca="1">SUM(N30:N32)</f>
        <v>0</v>
      </c>
      <c r="O33" s="19">
        <f ca="1">SUM(O30:O32)</f>
        <v>0</v>
      </c>
      <c r="P33" s="18"/>
    </row>
    <row r="34" ht="13.35" customHeight="true"/>
    <row r="35" ht="12.1" customHeight="true" customFormat="true" s="5">
      <c r="A35" s="8" t="s">
        <v>41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ht="10.95" customHeight="true" customFormat="true" s="9">
      <c r="A36" s="10" t="s">
        <v>42</v>
      </c>
      <c r="B36" s="11">
        <v>4749.0000</v>
      </c>
      <c r="C36" s="11">
        <v>142.120000</v>
      </c>
      <c r="D36" s="12">
        <v>44286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0" t="s">
        <v>21</v>
      </c>
      <c r="K36" s="13">
        <v>50.00</v>
      </c>
      <c r="L36" s="11">
        <v>71.060000</v>
      </c>
      <c r="M36" s="11">
        <v>4677.940000</v>
      </c>
      <c r="N36" s="11">
        <v>71.060000</v>
      </c>
      <c r="O36" s="11">
        <v>0</v>
      </c>
      <c r="P36" s="13">
        <v>0</v>
      </c>
    </row>
    <row r="37" ht="10.95" customHeight="true" customFormat="true" s="9">
      <c r="A37" s="18" t="s">
        <v>43</v>
      </c>
      <c r="B37" s="19">
        <f ca="1">B36</f>
        <v>0</v>
      </c>
      <c r="C37" s="19">
        <f ca="1">C36</f>
        <v>0</v>
      </c>
      <c r="D37" s="18"/>
      <c r="E37" s="19">
        <f ca="1">E36</f>
        <v>0</v>
      </c>
      <c r="F37" s="19">
        <f ca="1">F36</f>
        <v>0</v>
      </c>
      <c r="G37" s="19">
        <f ca="1">G36</f>
        <v>0</v>
      </c>
      <c r="H37" s="19">
        <f ca="1">H36</f>
        <v>0</v>
      </c>
      <c r="I37" s="19">
        <f ca="1">I36</f>
        <v>0</v>
      </c>
      <c r="J37" s="18"/>
      <c r="K37" s="18"/>
      <c r="L37" s="19">
        <f ca="1">L36</f>
        <v>0</v>
      </c>
      <c r="M37" s="19">
        <f ca="1">M36</f>
        <v>0</v>
      </c>
      <c r="N37" s="19">
        <f ca="1">N36</f>
        <v>0</v>
      </c>
      <c r="O37" s="19">
        <f ca="1">O36</f>
        <v>0</v>
      </c>
      <c r="P37" s="18"/>
    </row>
    <row r="38" ht="13.35" customHeight="true"/>
    <row r="39" ht="12.1" customHeight="true" customFormat="true" s="5">
      <c r="A39" s="8" t="s">
        <v>44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ht="10.95" customHeight="true" customFormat="true" s="9">
      <c r="A40" s="10" t="s">
        <v>33</v>
      </c>
      <c r="B40" s="11">
        <v>128853.0000</v>
      </c>
      <c r="C40" s="11">
        <v>73976.750000</v>
      </c>
      <c r="D40" s="12">
        <v>44286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0" t="s">
        <v>21</v>
      </c>
      <c r="K40" s="13">
        <v>2.00</v>
      </c>
      <c r="L40" s="11">
        <v>1479.540000</v>
      </c>
      <c r="M40" s="11">
        <v>56355.790000</v>
      </c>
      <c r="N40" s="11">
        <v>72497.210000</v>
      </c>
      <c r="O40" s="11">
        <v>0</v>
      </c>
      <c r="P40" s="13">
        <v>0</v>
      </c>
    </row>
    <row r="41" ht="10.95" customHeight="true" customFormat="true" s="9">
      <c r="A41" s="14" t="s">
        <v>34</v>
      </c>
      <c r="B41" s="15">
        <v>36525.0000</v>
      </c>
      <c r="C41" s="15">
        <v>36525.000000</v>
      </c>
      <c r="D41" s="16">
        <v>44286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4" t="s">
        <v>26</v>
      </c>
      <c r="K41" s="14"/>
      <c r="L41" s="15">
        <v>0</v>
      </c>
      <c r="M41" s="15">
        <v>0</v>
      </c>
      <c r="N41" s="15">
        <v>36525.000000</v>
      </c>
      <c r="O41" s="15">
        <v>0</v>
      </c>
      <c r="P41" s="17">
        <v>0</v>
      </c>
    </row>
    <row r="42" ht="10.95" customHeight="true" customFormat="true" s="9">
      <c r="A42" s="18" t="s">
        <v>45</v>
      </c>
      <c r="B42" s="19">
        <f ca="1">SUM(B40:B41)</f>
        <v>0</v>
      </c>
      <c r="C42" s="19">
        <f ca="1">SUM(C40:C41)</f>
        <v>0</v>
      </c>
      <c r="D42" s="18"/>
      <c r="E42" s="19">
        <f ca="1">SUM(E40:E41)</f>
        <v>0</v>
      </c>
      <c r="F42" s="19">
        <f ca="1">SUM(F40:F41)</f>
        <v>0</v>
      </c>
      <c r="G42" s="19">
        <f ca="1">SUM(G40:G41)</f>
        <v>0</v>
      </c>
      <c r="H42" s="19">
        <f ca="1">SUM(H40:H41)</f>
        <v>0</v>
      </c>
      <c r="I42" s="19">
        <f ca="1">SUM(I40:I41)</f>
        <v>0</v>
      </c>
      <c r="J42" s="18"/>
      <c r="K42" s="18"/>
      <c r="L42" s="19">
        <f ca="1">SUM(L40:L41)</f>
        <v>0</v>
      </c>
      <c r="M42" s="19">
        <f ca="1">SUM(M40:M41)</f>
        <v>0</v>
      </c>
      <c r="N42" s="19">
        <f ca="1">SUM(N40:N41)</f>
        <v>0</v>
      </c>
      <c r="O42" s="19">
        <f ca="1">SUM(O40:O41)</f>
        <v>0</v>
      </c>
      <c r="P42" s="18"/>
    </row>
    <row r="43" ht="13.35" customHeight="true"/>
    <row r="44" ht="10.95" customHeight="true" customFormat="true" s="9">
      <c r="A44" s="20" t="s">
        <v>46</v>
      </c>
      <c r="B44" s="21">
        <f ca="1">SUM(B17,B22,B27,B33,B37,B42)</f>
        <v>0</v>
      </c>
      <c r="C44" s="21">
        <f ca="1">SUM(C17,C22,C27,C33,C37,C42)</f>
        <v>0</v>
      </c>
      <c r="D44" s="20"/>
      <c r="E44" s="21">
        <f ca="1">SUM(E17,E22,E27,E33,E37,E42)</f>
        <v>0</v>
      </c>
      <c r="F44" s="21">
        <f ca="1">SUM(F17,F22,F27,F33,F37,F42)</f>
        <v>0</v>
      </c>
      <c r="G44" s="21">
        <f ca="1">SUM(G17,G22,G27,G33,G37,G42)</f>
        <v>0</v>
      </c>
      <c r="H44" s="21">
        <f ca="1">SUM(H17,H22,H27,H33,H37,H42)</f>
        <v>0</v>
      </c>
      <c r="I44" s="21">
        <f ca="1">SUM(I17,I22,I27,I33,I37,I42)</f>
        <v>0</v>
      </c>
      <c r="J44" s="20"/>
      <c r="K44" s="20"/>
      <c r="L44" s="21">
        <f ca="1">SUM(L17,L22,L27,L33,L37,L42)</f>
        <v>0</v>
      </c>
      <c r="M44" s="21">
        <f ca="1">SUM(M17,M22,M27,M33,M37,M42)</f>
        <v>0</v>
      </c>
      <c r="N44" s="21">
        <f ca="1">SUM(N17,N22,N27,N33,N37,N42)</f>
        <v>0</v>
      </c>
      <c r="O44" s="21">
        <f ca="1">SUM(O17,O22,O27,O33,O37,O42)</f>
        <v>0</v>
      </c>
      <c r="P44" s="20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